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caravaggio_mecon\Desktop\felicidad_ivqreg2\"/>
    </mc:Choice>
  </mc:AlternateContent>
  <bookViews>
    <workbookView xWindow="0" yWindow="0" windowWidth="24000" windowHeight="9030" activeTab="2"/>
  </bookViews>
  <sheets>
    <sheet name="por_red" sheetId="1" r:id="rId1"/>
    <sheet name="por_pais" sheetId="2" r:id="rId2"/>
    <sheet name="por_red (2)" sheetId="3" r:id="rId3"/>
    <sheet name="por_pais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2" i="3"/>
  <c r="C3" i="3"/>
  <c r="C2" i="3"/>
  <c r="B3" i="3"/>
  <c r="B2" i="3"/>
  <c r="D3" i="4" l="1"/>
  <c r="B3" i="4"/>
  <c r="D17" i="3"/>
  <c r="C17" i="3"/>
  <c r="B17" i="3"/>
  <c r="D7" i="3"/>
  <c r="B7" i="3"/>
  <c r="C7" i="3"/>
</calcChain>
</file>

<file path=xl/sharedStrings.xml><?xml version="1.0" encoding="utf-8"?>
<sst xmlns="http://schemas.openxmlformats.org/spreadsheetml/2006/main" count="938" uniqueCount="629">
  <si>
    <t>VARIABLES</t>
  </si>
  <si>
    <t>ivq25</t>
  </si>
  <si>
    <t>s19m\_01</t>
  </si>
  <si>
    <t>0.313***</t>
  </si>
  <si>
    <t>0.206**</t>
  </si>
  <si>
    <t>0.0926</t>
  </si>
  <si>
    <t>(0.106)</t>
  </si>
  <si>
    <t>(0.0923)</t>
  </si>
  <si>
    <t>(0.102)</t>
  </si>
  <si>
    <t>p78n</t>
  </si>
  <si>
    <t>-0.0632</t>
  </si>
  <si>
    <t>-0.109**</t>
  </si>
  <si>
    <t>-0.158***</t>
  </si>
  <si>
    <t>0.226*</t>
  </si>
  <si>
    <t>0.206***</t>
  </si>
  <si>
    <t>0.191***</t>
  </si>
  <si>
    <t>-0.0491</t>
  </si>
  <si>
    <t>-0.122**</t>
  </si>
  <si>
    <t>-0.198***</t>
  </si>
  <si>
    <t>0.0135</t>
  </si>
  <si>
    <t>-0.129</t>
  </si>
  <si>
    <t>-0.268***</t>
  </si>
  <si>
    <t>-0.0815</t>
  </si>
  <si>
    <t>-0.128**</t>
  </si>
  <si>
    <t>-0.177***</t>
  </si>
  <si>
    <t>-0.105</t>
  </si>
  <si>
    <t>-0.215***</t>
  </si>
  <si>
    <t>-0.317***</t>
  </si>
  <si>
    <t>0.136</t>
  </si>
  <si>
    <t>0.106</t>
  </si>
  <si>
    <t>0.0813</t>
  </si>
  <si>
    <t>-0.108</t>
  </si>
  <si>
    <t>-0.109</t>
  </si>
  <si>
    <t>-0.110</t>
  </si>
  <si>
    <t>0.177***</t>
  </si>
  <si>
    <t>0.00336</t>
  </si>
  <si>
    <t>-0.175*</t>
  </si>
  <si>
    <t>(0.0630)</t>
  </si>
  <si>
    <t>(0.0531)</t>
  </si>
  <si>
    <t>(0.0575)</t>
  </si>
  <si>
    <t>(0.118)</t>
  </si>
  <si>
    <t>(0.0742)</t>
  </si>
  <si>
    <t>(0.0593)</t>
  </si>
  <si>
    <t>(0.0691)</t>
  </si>
  <si>
    <t>(0.0586)</t>
  </si>
  <si>
    <t>(0.0632)</t>
  </si>
  <si>
    <t>(0.101)</t>
  </si>
  <si>
    <t>(0.0891)</t>
  </si>
  <si>
    <t>(0.0930)</t>
  </si>
  <si>
    <t>(0.0624)</t>
  </si>
  <si>
    <t>(0.0527)</t>
  </si>
  <si>
    <t>(0.0571)</t>
  </si>
  <si>
    <t>(0.0793)</t>
  </si>
  <si>
    <t>(0.0675)</t>
  </si>
  <si>
    <t>(0.0703)</t>
  </si>
  <si>
    <t>(0.0843)</t>
  </si>
  <si>
    <t>(0.0643)</t>
  </si>
  <si>
    <t>(0.0612)</t>
  </si>
  <si>
    <t>(0.0864)</t>
  </si>
  <si>
    <t>(0.313)</t>
  </si>
  <si>
    <t>(0.569)</t>
  </si>
  <si>
    <t>(0.0697)</t>
  </si>
  <si>
    <t>edad</t>
  </si>
  <si>
    <t>-0.0202***</t>
  </si>
  <si>
    <t>-0.0149***</t>
  </si>
  <si>
    <t>-0.00946***</t>
  </si>
  <si>
    <t>0.0245*</t>
  </si>
  <si>
    <t>0.0216***</t>
  </si>
  <si>
    <t>0.0193***</t>
  </si>
  <si>
    <t>-0.0210***</t>
  </si>
  <si>
    <t>-0.0167***</t>
  </si>
  <si>
    <t>-0.0122***</t>
  </si>
  <si>
    <t>-0.0209***</t>
  </si>
  <si>
    <t>-0.0175***</t>
  </si>
  <si>
    <t>-0.0141***</t>
  </si>
  <si>
    <t>-0.0220***</t>
  </si>
  <si>
    <t>-0.0110***</t>
  </si>
  <si>
    <t>-0.0234***</t>
  </si>
  <si>
    <t>-0.0217***</t>
  </si>
  <si>
    <t>-0.0201***</t>
  </si>
  <si>
    <t>0.00217</t>
  </si>
  <si>
    <t>0.00692*</t>
  </si>
  <si>
    <t>0.0108***</t>
  </si>
  <si>
    <t>-0.0253***</t>
  </si>
  <si>
    <t>-0.0196***</t>
  </si>
  <si>
    <t>-0.0136</t>
  </si>
  <si>
    <t>-0.0250***</t>
  </si>
  <si>
    <t>-0.0153***</t>
  </si>
  <si>
    <t>(0.00221)</t>
  </si>
  <si>
    <t>(0.00183)</t>
  </si>
  <si>
    <t>(0.00192)</t>
  </si>
  <si>
    <t>(0.0131)</t>
  </si>
  <si>
    <t>(0.00631)</t>
  </si>
  <si>
    <t>(0.00185)</t>
  </si>
  <si>
    <t>(0.00240)</t>
  </si>
  <si>
    <t>(0.00206)</t>
  </si>
  <si>
    <t>(0.00223)</t>
  </si>
  <si>
    <t>(0.00326)</t>
  </si>
  <si>
    <t>(0.00284)</t>
  </si>
  <si>
    <t>(0.00301)</t>
  </si>
  <si>
    <t>(0.00205)</t>
  </si>
  <si>
    <t>(0.00168)</t>
  </si>
  <si>
    <t>(0.00176)</t>
  </si>
  <si>
    <t>(0.00288)</t>
  </si>
  <si>
    <t>(0.00275)</t>
  </si>
  <si>
    <t>(0.00321)</t>
  </si>
  <si>
    <t>(0.00622)</t>
  </si>
  <si>
    <t>(0.00377)</t>
  </si>
  <si>
    <t>(0.00197)</t>
  </si>
  <si>
    <t>(0.00564)</t>
  </si>
  <si>
    <t>(0.0105)</t>
  </si>
  <si>
    <t>(0.00160)</t>
  </si>
  <si>
    <t>(0.00181)</t>
  </si>
  <si>
    <t>s19m\_02</t>
  </si>
  <si>
    <t>7.255**</t>
  </si>
  <si>
    <t>11.55**</t>
  </si>
  <si>
    <t>14.98**</t>
  </si>
  <si>
    <t>s19m\_03</t>
  </si>
  <si>
    <t>0.278*</t>
  </si>
  <si>
    <t>0.0506</t>
  </si>
  <si>
    <t>-0.189</t>
  </si>
  <si>
    <t>(0.158)</t>
  </si>
  <si>
    <t>(0.144)</t>
  </si>
  <si>
    <t>(0.162)</t>
  </si>
  <si>
    <t>s19m\_04</t>
  </si>
  <si>
    <t>0.958**</t>
  </si>
  <si>
    <t>-0.00449</t>
  </si>
  <si>
    <t>-0.941**</t>
  </si>
  <si>
    <t>(0.421)</t>
  </si>
  <si>
    <t>(0.419)</t>
  </si>
  <si>
    <t>(0.458)</t>
  </si>
  <si>
    <t>s19m\_05</t>
  </si>
  <si>
    <t>0.197**</t>
  </si>
  <si>
    <t>0.0838</t>
  </si>
  <si>
    <t>-0.0366</t>
  </si>
  <si>
    <t>(0.0907)</t>
  </si>
  <si>
    <t>(0.0781)</t>
  </si>
  <si>
    <t>(0.0857)</t>
  </si>
  <si>
    <t>s19m\_06</t>
  </si>
  <si>
    <t>0.00665</t>
  </si>
  <si>
    <t>-0.490**</t>
  </si>
  <si>
    <t>-0.950***</t>
  </si>
  <si>
    <t>(0.237)</t>
  </si>
  <si>
    <t>(0.219)</t>
  </si>
  <si>
    <t>(0.241)</t>
  </si>
  <si>
    <t>s19m\_07</t>
  </si>
  <si>
    <t>3.130**</t>
  </si>
  <si>
    <t>5.585**</t>
  </si>
  <si>
    <t>7.572**</t>
  </si>
  <si>
    <t>s19m\_08</t>
  </si>
  <si>
    <t>24.80</t>
  </si>
  <si>
    <t>23.70</t>
  </si>
  <si>
    <t>22.56</t>
  </si>
  <si>
    <t>s19m\_09</t>
  </si>
  <si>
    <t>46.60</t>
  </si>
  <si>
    <t>37.82</t>
  </si>
  <si>
    <t>28.82</t>
  </si>
  <si>
    <t>(167.3)</t>
  </si>
  <si>
    <t>(137.8)</t>
  </si>
  <si>
    <t>(107.6)</t>
  </si>
  <si>
    <t>Constant</t>
  </si>
  <si>
    <t>8.822***</t>
  </si>
  <si>
    <t>10.58***</t>
  </si>
  <si>
    <t>12.41***</t>
  </si>
  <si>
    <t>5.808***</t>
  </si>
  <si>
    <t>8.340***</t>
  </si>
  <si>
    <t>10.37***</t>
  </si>
  <si>
    <t>8.938***</t>
  </si>
  <si>
    <t>10.78***</t>
  </si>
  <si>
    <t>12.71***</t>
  </si>
  <si>
    <t>8.767***</t>
  </si>
  <si>
    <t>10.85***</t>
  </si>
  <si>
    <t>12.87***</t>
  </si>
  <si>
    <t>9.001***</t>
  </si>
  <si>
    <t>10.74***</t>
  </si>
  <si>
    <t>12.60***</t>
  </si>
  <si>
    <t>9.240***</t>
  </si>
  <si>
    <t>11.34***</t>
  </si>
  <si>
    <t>13.29***</t>
  </si>
  <si>
    <t>7.559***</t>
  </si>
  <si>
    <t>9.269***</t>
  </si>
  <si>
    <t>10.65***</t>
  </si>
  <si>
    <t>9.354***</t>
  </si>
  <si>
    <t>10.90***</t>
  </si>
  <si>
    <t>12.52***</t>
  </si>
  <si>
    <t>8.895***</t>
  </si>
  <si>
    <t>10.77***</t>
  </si>
  <si>
    <t>12.69***</t>
  </si>
  <si>
    <t>(0.197)</t>
  </si>
  <si>
    <t>(0.163)</t>
  </si>
  <si>
    <t>(0.179)</t>
  </si>
  <si>
    <t>(0.942)</t>
  </si>
  <si>
    <t>(0.457)</t>
  </si>
  <si>
    <t>(0.138)</t>
  </si>
  <si>
    <t>(0.235)</t>
  </si>
  <si>
    <t>(0.203)</t>
  </si>
  <si>
    <t>(0.226)</t>
  </si>
  <si>
    <t>(0.369)</t>
  </si>
  <si>
    <t>(0.325)</t>
  </si>
  <si>
    <t>(0.348)</t>
  </si>
  <si>
    <t>(0.180)</t>
  </si>
  <si>
    <t>(0.149)</t>
  </si>
  <si>
    <t>(0.166)</t>
  </si>
  <si>
    <t>(0.290)</t>
  </si>
  <si>
    <t>(0.267)</t>
  </si>
  <si>
    <t>(0.307)</t>
  </si>
  <si>
    <t>(0.470)</t>
  </si>
  <si>
    <t>(0.283)</t>
  </si>
  <si>
    <t>(0.143)</t>
  </si>
  <si>
    <t>(0.256)</t>
  </si>
  <si>
    <t>(0.426)</t>
  </si>
  <si>
    <t>(0.141)</t>
  </si>
  <si>
    <t>(0.148)</t>
  </si>
  <si>
    <t>(0.217)</t>
  </si>
  <si>
    <t>Observations</t>
  </si>
  <si>
    <t>ivq50</t>
  </si>
  <si>
    <t>ivq75</t>
  </si>
  <si>
    <t>SNU</t>
  </si>
  <si>
    <t>0.906</t>
  </si>
  <si>
    <t>0.591</t>
  </si>
  <si>
    <t>0.291</t>
  </si>
  <si>
    <t>0.204</t>
  </si>
  <si>
    <t>0.178</t>
  </si>
  <si>
    <t>0.151</t>
  </si>
  <si>
    <t>0.357</t>
  </si>
  <si>
    <t>0.124</t>
  </si>
  <si>
    <t>-0.0316</t>
  </si>
  <si>
    <t>-0.310</t>
  </si>
  <si>
    <t>-0.240</t>
  </si>
  <si>
    <t>-0.188</t>
  </si>
  <si>
    <t>0.130</t>
  </si>
  <si>
    <t>0.489</t>
  </si>
  <si>
    <t>0.769*</t>
  </si>
  <si>
    <t>0.987**</t>
  </si>
  <si>
    <t>1.044***</t>
  </si>
  <si>
    <t>1.105***</t>
  </si>
  <si>
    <t>0.429</t>
  </si>
  <si>
    <t>0.393</t>
  </si>
  <si>
    <t>0.361</t>
  </si>
  <si>
    <t>1.228***</t>
  </si>
  <si>
    <t>1.024***</t>
  </si>
  <si>
    <t>0.812***</t>
  </si>
  <si>
    <t>0.195</t>
  </si>
  <si>
    <t>-0.492*</t>
  </si>
  <si>
    <t>-0.0310</t>
  </si>
  <si>
    <t>-0.224</t>
  </si>
  <si>
    <t>-0.385</t>
  </si>
  <si>
    <t>0.396</t>
  </si>
  <si>
    <t>0.608**</t>
  </si>
  <si>
    <t>0.857***</t>
  </si>
  <si>
    <t>1.323***</t>
  </si>
  <si>
    <t>0.881***</t>
  </si>
  <si>
    <t>0.551**</t>
  </si>
  <si>
    <t>-0.876</t>
  </si>
  <si>
    <t>-0.822</t>
  </si>
  <si>
    <t>-0.792</t>
  </si>
  <si>
    <t>0.311</t>
  </si>
  <si>
    <t>0.277</t>
  </si>
  <si>
    <t>0.251</t>
  </si>
  <si>
    <t>0.415*</t>
  </si>
  <si>
    <t>0.478**</t>
  </si>
  <si>
    <t>0.538**</t>
  </si>
  <si>
    <t>-0.000166</t>
  </si>
  <si>
    <t>-0.136</t>
  </si>
  <si>
    <t>-0.292</t>
  </si>
  <si>
    <t>0.619*</t>
  </si>
  <si>
    <t>0.367</t>
  </si>
  <si>
    <t>0.157</t>
  </si>
  <si>
    <t>-0.276</t>
  </si>
  <si>
    <t>-0.680**</t>
  </si>
  <si>
    <t>-1.103***</t>
  </si>
  <si>
    <t>(0.965)</t>
  </si>
  <si>
    <t>(0.247)</t>
  </si>
  <si>
    <t>(0.215)</t>
  </si>
  <si>
    <t>(0.352)</t>
  </si>
  <si>
    <t>(0.293)</t>
  </si>
  <si>
    <t>(0.306)</t>
  </si>
  <si>
    <t>(0.316)</t>
  </si>
  <si>
    <t>(0.253)</t>
  </si>
  <si>
    <t>(0.249)</t>
  </si>
  <si>
    <t>(0.471)</t>
  </si>
  <si>
    <t>(0.402)</t>
  </si>
  <si>
    <t>(0.420)</t>
  </si>
  <si>
    <t>(0.296)</t>
  </si>
  <si>
    <t>(0.274)</t>
  </si>
  <si>
    <t>(0.321)</t>
  </si>
  <si>
    <t>(0.364)</t>
  </si>
  <si>
    <t>(0.285)</t>
  </si>
  <si>
    <t>(0.287)</t>
  </si>
  <si>
    <t>(0.333)</t>
  </si>
  <si>
    <t>(0.279)</t>
  </si>
  <si>
    <t>(0.577)</t>
  </si>
  <si>
    <t>(0.384)</t>
  </si>
  <si>
    <t>(0.305)</t>
  </si>
  <si>
    <t>(0.271)</t>
  </si>
  <si>
    <t>(0.311)</t>
  </si>
  <si>
    <t>(0.312)</t>
  </si>
  <si>
    <t>(0.257)</t>
  </si>
  <si>
    <t>(0.270)</t>
  </si>
  <si>
    <t>(0.870)</t>
  </si>
  <si>
    <t>(0.619)</t>
  </si>
  <si>
    <t>(0.574)</t>
  </si>
  <si>
    <t>(0.381)</t>
  </si>
  <si>
    <t>(0.353)</t>
  </si>
  <si>
    <t>(0.229)</t>
  </si>
  <si>
    <t>(0.199)</t>
  </si>
  <si>
    <t>(0.218)</t>
  </si>
  <si>
    <t>(0.376)</t>
  </si>
  <si>
    <t>(0.346)</t>
  </si>
  <si>
    <t>(0.345)</t>
  </si>
  <si>
    <t>(0.288)</t>
  </si>
  <si>
    <t>(0.302)</t>
  </si>
  <si>
    <t>(0.258)</t>
  </si>
  <si>
    <t>(0.347)</t>
  </si>
  <si>
    <t>0.105</t>
  </si>
  <si>
    <t>-0.0196</t>
  </si>
  <si>
    <t>-0.138</t>
  </si>
  <si>
    <t>-0.0613</t>
  </si>
  <si>
    <t>-0.202</t>
  </si>
  <si>
    <t>0.167</t>
  </si>
  <si>
    <t>0.0637</t>
  </si>
  <si>
    <t>-0.00485</t>
  </si>
  <si>
    <t>-0.365*</t>
  </si>
  <si>
    <t>-0.287*</t>
  </si>
  <si>
    <t>-0.229</t>
  </si>
  <si>
    <t>-0.235</t>
  </si>
  <si>
    <t>-0.285</t>
  </si>
  <si>
    <t>-0.324</t>
  </si>
  <si>
    <t>-0.0666</t>
  </si>
  <si>
    <t>0.114</t>
  </si>
  <si>
    <t>0.303</t>
  </si>
  <si>
    <t>-0.416**</t>
  </si>
  <si>
    <t>-0.234</t>
  </si>
  <si>
    <t>-0.0677</t>
  </si>
  <si>
    <t>0.0564</t>
  </si>
  <si>
    <t>0.00866</t>
  </si>
  <si>
    <t>-0.0411</t>
  </si>
  <si>
    <t>-0.130</t>
  </si>
  <si>
    <t>-0.0134</t>
  </si>
  <si>
    <t>0.0783</t>
  </si>
  <si>
    <t>0.139</t>
  </si>
  <si>
    <t>0.531</t>
  </si>
  <si>
    <t>0.857**</t>
  </si>
  <si>
    <t>-1.595***</t>
  </si>
  <si>
    <t>-1.320***</t>
  </si>
  <si>
    <t>-0.994***</t>
  </si>
  <si>
    <t>0.0726</t>
  </si>
  <si>
    <t>-0.0867</t>
  </si>
  <si>
    <t>-0.206</t>
  </si>
  <si>
    <t>-0.629</t>
  </si>
  <si>
    <t>-0.492</t>
  </si>
  <si>
    <t>-0.417</t>
  </si>
  <si>
    <t>0.450</t>
  </si>
  <si>
    <t>0.290</t>
  </si>
  <si>
    <t>0.169</t>
  </si>
  <si>
    <t>-0.328*</t>
  </si>
  <si>
    <t>-0.259*</t>
  </si>
  <si>
    <t>-0.191</t>
  </si>
  <si>
    <t>-0.417*</t>
  </si>
  <si>
    <t>-0.349*</t>
  </si>
  <si>
    <t>-0.272</t>
  </si>
  <si>
    <t>-0.582***</t>
  </si>
  <si>
    <t>-0.540***</t>
  </si>
  <si>
    <t>-0.506***</t>
  </si>
  <si>
    <t>0.153</t>
  </si>
  <si>
    <t>-0.0153</t>
  </si>
  <si>
    <t>(0.208)</t>
  </si>
  <si>
    <t>(0.200)</t>
  </si>
  <si>
    <t>(0.168)</t>
  </si>
  <si>
    <t>(0.178)</t>
  </si>
  <si>
    <t>(0.259)</t>
  </si>
  <si>
    <t>(0.210)</t>
  </si>
  <si>
    <t>(0.214)</t>
  </si>
  <si>
    <t>(0.205)</t>
  </si>
  <si>
    <t>(0.171)</t>
  </si>
  <si>
    <t>(0.223)</t>
  </si>
  <si>
    <t>(0.239)</t>
  </si>
  <si>
    <t>(0.206)</t>
  </si>
  <si>
    <t>(0.187)</t>
  </si>
  <si>
    <t>(0.201)</t>
  </si>
  <si>
    <t>(0.172)</t>
  </si>
  <si>
    <t>(0.152)</t>
  </si>
  <si>
    <t>(0.191)</t>
  </si>
  <si>
    <t>(0.295)</t>
  </si>
  <si>
    <t>(0.230)</t>
  </si>
  <si>
    <t>(0.394)</t>
  </si>
  <si>
    <t>(0.342)</t>
  </si>
  <si>
    <t>(0.386)</t>
  </si>
  <si>
    <t>(0.236)</t>
  </si>
  <si>
    <t>(0.338)</t>
  </si>
  <si>
    <t>(0.275)</t>
  </si>
  <si>
    <t>(0.768)</t>
  </si>
  <si>
    <t>(0.525)</t>
  </si>
  <si>
    <t>(0.503)</t>
  </si>
  <si>
    <t>(0.417)</t>
  </si>
  <si>
    <t>(0.332)</t>
  </si>
  <si>
    <t>(0.334)</t>
  </si>
  <si>
    <t>(0.188)</t>
  </si>
  <si>
    <t>(0.156)</t>
  </si>
  <si>
    <t>(0.165)</t>
  </si>
  <si>
    <t>(0.244)</t>
  </si>
  <si>
    <t>(0.184)</t>
  </si>
  <si>
    <t>(0.154)</t>
  </si>
  <si>
    <t>(0.234)</t>
  </si>
  <si>
    <t>(0.221)</t>
  </si>
  <si>
    <t>(0.260)</t>
  </si>
  <si>
    <t>0.00931</t>
  </si>
  <si>
    <t>0.0180***</t>
  </si>
  <si>
    <t>0.0262***</t>
  </si>
  <si>
    <t>-0.0330***</t>
  </si>
  <si>
    <t>-0.0300***</t>
  </si>
  <si>
    <t>-0.0268***</t>
  </si>
  <si>
    <t>-0.00843</t>
  </si>
  <si>
    <t>-0.00659</t>
  </si>
  <si>
    <t>-0.00536</t>
  </si>
  <si>
    <t>-0.0236***</t>
  </si>
  <si>
    <t>-0.0104*</t>
  </si>
  <si>
    <t>-0.000640</t>
  </si>
  <si>
    <t>-0.0294***</t>
  </si>
  <si>
    <t>-0.0151*</t>
  </si>
  <si>
    <t>-0.00393</t>
  </si>
  <si>
    <t>-0.00329</t>
  </si>
  <si>
    <t>-0.00561</t>
  </si>
  <si>
    <t>-0.00804</t>
  </si>
  <si>
    <t>-0.0331***</t>
  </si>
  <si>
    <t>-0.0183***</t>
  </si>
  <si>
    <t>-0.0284***</t>
  </si>
  <si>
    <t>-0.0195***</t>
  </si>
  <si>
    <t>-0.0103</t>
  </si>
  <si>
    <t>-0.0274***</t>
  </si>
  <si>
    <t>-0.0237***</t>
  </si>
  <si>
    <t>-0.0208***</t>
  </si>
  <si>
    <t>-0.00740</t>
  </si>
  <si>
    <t>-0.00217</t>
  </si>
  <si>
    <t>0.00172</t>
  </si>
  <si>
    <t>0.00463</t>
  </si>
  <si>
    <t>0.00807</t>
  </si>
  <si>
    <t>-0.0131</t>
  </si>
  <si>
    <t>-0.00678</t>
  </si>
  <si>
    <t>-0.00204</t>
  </si>
  <si>
    <t>-0.0238</t>
  </si>
  <si>
    <t>-0.0162</t>
  </si>
  <si>
    <t>-0.0121</t>
  </si>
  <si>
    <t>-0.0120</t>
  </si>
  <si>
    <t>-0.00955</t>
  </si>
  <si>
    <t>-0.00766</t>
  </si>
  <si>
    <t>-0.0437***</t>
  </si>
  <si>
    <t>-0.0313***</t>
  </si>
  <si>
    <t>-0.0193***</t>
  </si>
  <si>
    <t>0.00351</t>
  </si>
  <si>
    <t>0.00319</t>
  </si>
  <si>
    <t>0.00283</t>
  </si>
  <si>
    <t>-0.00358</t>
  </si>
  <si>
    <t>-0.00753</t>
  </si>
  <si>
    <t>-0.0108**</t>
  </si>
  <si>
    <t>-0.0260***</t>
  </si>
  <si>
    <t>-0.0155**</t>
  </si>
  <si>
    <t>-0.00444</t>
  </si>
  <si>
    <t>(0.00669)</t>
  </si>
  <si>
    <t>(0.00685)</t>
  </si>
  <si>
    <t>(0.00883)</t>
  </si>
  <si>
    <t>(0.00700)</t>
  </si>
  <si>
    <t>(0.00582)</t>
  </si>
  <si>
    <t>(0.00607)</t>
  </si>
  <si>
    <t>(0.00842)</t>
  </si>
  <si>
    <t>(0.00649)</t>
  </si>
  <si>
    <t>(0.00648)</t>
  </si>
  <si>
    <t>(0.00726)</t>
  </si>
  <si>
    <t>(0.00613)</t>
  </si>
  <si>
    <t>(0.00646)</t>
  </si>
  <si>
    <t>(0.0101)</t>
  </si>
  <si>
    <t>(0.00786)</t>
  </si>
  <si>
    <t>(0.00782)</t>
  </si>
  <si>
    <t>(0.00627)</t>
  </si>
  <si>
    <t>(0.00593)</t>
  </si>
  <si>
    <t>(0.00662)</t>
  </si>
  <si>
    <t>(0.00617)</t>
  </si>
  <si>
    <t>(0.00654)</t>
  </si>
  <si>
    <t>(0.00753)</t>
  </si>
  <si>
    <t>(0.00621)</t>
  </si>
  <si>
    <t>(0.0103)</t>
  </si>
  <si>
    <t>(0.00784)</t>
  </si>
  <si>
    <t>(0.00768)</t>
  </si>
  <si>
    <t>(0.0153)</t>
  </si>
  <si>
    <t>(0.0122)</t>
  </si>
  <si>
    <t>(0.0121)</t>
  </si>
  <si>
    <t>(0.00878)</t>
  </si>
  <si>
    <t>(0.00731)</t>
  </si>
  <si>
    <t>(0.00777)</t>
  </si>
  <si>
    <t>(0.00808)</t>
  </si>
  <si>
    <t>(0.00821)</t>
  </si>
  <si>
    <t>(0.0195)</t>
  </si>
  <si>
    <t>(0.0143)</t>
  </si>
  <si>
    <t>(0.0139)</t>
  </si>
  <si>
    <t>(0.00848)</t>
  </si>
  <si>
    <t>(0.00862)</t>
  </si>
  <si>
    <t>(0.00678)</t>
  </si>
  <si>
    <t>(0.00567)</t>
  </si>
  <si>
    <t>(0.00610)</t>
  </si>
  <si>
    <t>(0.00831)</t>
  </si>
  <si>
    <t>(0.00681)</t>
  </si>
  <si>
    <t>(0.00611)</t>
  </si>
  <si>
    <t>(0.00461)</t>
  </si>
  <si>
    <t>(0.00445)</t>
  </si>
  <si>
    <t>(0.00756)</t>
  </si>
  <si>
    <t>(0.00744)</t>
  </si>
  <si>
    <t>4.579***</t>
  </si>
  <si>
    <t>6.585***</t>
  </si>
  <si>
    <t>8.486***</t>
  </si>
  <si>
    <t>9.451***</t>
  </si>
  <si>
    <t>11.04***</t>
  </si>
  <si>
    <t>12.72***</t>
  </si>
  <si>
    <t>7.914***</t>
  </si>
  <si>
    <t>9.960***</t>
  </si>
  <si>
    <t>11.32***</t>
  </si>
  <si>
    <t>10.95***</t>
  </si>
  <si>
    <t>11.94***</t>
  </si>
  <si>
    <t>12.67***</t>
  </si>
  <si>
    <t>9.076***</t>
  </si>
  <si>
    <t>10.14***</t>
  </si>
  <si>
    <t>10.98***</t>
  </si>
  <si>
    <t>7.139***</t>
  </si>
  <si>
    <t>8.083***</t>
  </si>
  <si>
    <t>9.074***</t>
  </si>
  <si>
    <t>9.428***</t>
  </si>
  <si>
    <t>10.44***</t>
  </si>
  <si>
    <t>11.36***</t>
  </si>
  <si>
    <t>10.40***</t>
  </si>
  <si>
    <t>11.89***</t>
  </si>
  <si>
    <t>13.43***</t>
  </si>
  <si>
    <t>10.04***</t>
  </si>
  <si>
    <t>11.68***</t>
  </si>
  <si>
    <t>12.96***</t>
  </si>
  <si>
    <t>8.005***</t>
  </si>
  <si>
    <t>9.210***</t>
  </si>
  <si>
    <t>10.21***</t>
  </si>
  <si>
    <t>11.61***</t>
  </si>
  <si>
    <t>12.64***</t>
  </si>
  <si>
    <t>7.893***</t>
  </si>
  <si>
    <t>10.42***</t>
  </si>
  <si>
    <t>12.31***</t>
  </si>
  <si>
    <t>12.11***</t>
  </si>
  <si>
    <t>13.31***</t>
  </si>
  <si>
    <t>13.96***</t>
  </si>
  <si>
    <t>7.696***</t>
  </si>
  <si>
    <t>9.420***</t>
  </si>
  <si>
    <t>10.73***</t>
  </si>
  <si>
    <t>12.21***</t>
  </si>
  <si>
    <t>10.19***</t>
  </si>
  <si>
    <t>11.70***</t>
  </si>
  <si>
    <t>9.817***</t>
  </si>
  <si>
    <t>11.86***</t>
  </si>
  <si>
    <t>13.57***</t>
  </si>
  <si>
    <t>7.229***</t>
  </si>
  <si>
    <t>9.391***</t>
  </si>
  <si>
    <t>11.65***</t>
  </si>
  <si>
    <t>(0.555)</t>
  </si>
  <si>
    <t>(0.485)</t>
  </si>
  <si>
    <t>(0.537)</t>
  </si>
  <si>
    <t>(0.798)</t>
  </si>
  <si>
    <t>(0.618)</t>
  </si>
  <si>
    <t>(0.565)</t>
  </si>
  <si>
    <t>(0.487)</t>
  </si>
  <si>
    <t>(0.515)</t>
  </si>
  <si>
    <t>(0.829)</t>
  </si>
  <si>
    <t>(0.706)</t>
  </si>
  <si>
    <t>(0.761)</t>
  </si>
  <si>
    <t>(0.647)</t>
  </si>
  <si>
    <t>(0.630)</t>
  </si>
  <si>
    <t>(0.540)</t>
  </si>
  <si>
    <t>(0.486)</t>
  </si>
  <si>
    <t>(0.560)</t>
  </si>
  <si>
    <t>(0.657)</t>
  </si>
  <si>
    <t>(0.543)</t>
  </si>
  <si>
    <t>(0.581)</t>
  </si>
  <si>
    <t>(0.793)</t>
  </si>
  <si>
    <t>(0.625)</t>
  </si>
  <si>
    <t>(0.903)</t>
  </si>
  <si>
    <t>(0.864)</t>
  </si>
  <si>
    <t>(0.643)</t>
  </si>
  <si>
    <t>(0.606)</t>
  </si>
  <si>
    <t>(0.772)</t>
  </si>
  <si>
    <t>(0.841)</t>
  </si>
  <si>
    <t>(0.646)</t>
  </si>
  <si>
    <t>(0.654)</t>
  </si>
  <si>
    <t>(0.830)</t>
  </si>
  <si>
    <t>(0.845)</t>
  </si>
  <si>
    <t>(0.566)</t>
  </si>
  <si>
    <t>(0.446)</t>
  </si>
  <si>
    <t>(0.691)</t>
  </si>
  <si>
    <t>(0.578)</t>
  </si>
  <si>
    <t>(0.598)</t>
  </si>
  <si>
    <t>(0.612)</t>
  </si>
  <si>
    <t>(0.506)</t>
  </si>
  <si>
    <t>(0.524)</t>
  </si>
  <si>
    <t>(0.601)</t>
  </si>
  <si>
    <t>(0.602)</t>
  </si>
  <si>
    <t>(0.738)</t>
  </si>
  <si>
    <t>Argentina</t>
  </si>
  <si>
    <t>Bolivia</t>
  </si>
  <si>
    <t>Brasil</t>
  </si>
  <si>
    <t>Colombia</t>
  </si>
  <si>
    <t>Costa Rica</t>
  </si>
  <si>
    <t>Chile</t>
  </si>
  <si>
    <t>Ecuador</t>
  </si>
  <si>
    <t>El Salvador</t>
  </si>
  <si>
    <t>Guatemala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</si>
  <si>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</si>
  <si>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</si>
  <si>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</si>
  <si>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</si>
  <si>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</si>
  <si>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</si>
  <si>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</si>
  <si>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</si>
  <si>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Venezuela</t>
  </si>
  <si>
    <t>ivq5</t>
  </si>
  <si>
    <t>Facebook</t>
  </si>
  <si>
    <t>Snapchat</t>
  </si>
  <si>
    <t>Youtube</t>
  </si>
  <si>
    <t>Twitter</t>
  </si>
  <si>
    <t>Whatsapp</t>
  </si>
  <si>
    <t>Instagram</t>
  </si>
  <si>
    <t>Tiktok</t>
  </si>
  <si>
    <t>LinkedIn</t>
  </si>
  <si>
    <t>Otro</t>
  </si>
  <si>
    <t>República  Dominicana</t>
  </si>
  <si>
    <t>Usan red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</si>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</sst>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"/>
  <sheetViews>
    <sheetView topLeftCell="J1" workbookViewId="0">
      <selection activeCell="E11" sqref="E11"/>
    </sheetView>
  </sheetViews>
  <sheetFormatPr baseColWidth="10" defaultRowHeight="15" x14ac:dyDescent="0.25"/>
  <sheetData>
    <row r="1" spans="1:28" x14ac:dyDescent="0.25">
      <c r="B1" s="9" t="s">
        <v>617</v>
      </c>
      <c r="C1" s="9"/>
      <c r="D1" s="9"/>
      <c r="E1" s="9" t="s">
        <v>618</v>
      </c>
      <c r="F1" s="9"/>
      <c r="G1" s="9"/>
      <c r="H1" s="9" t="s">
        <v>619</v>
      </c>
      <c r="I1" s="9"/>
      <c r="J1" s="9"/>
      <c r="K1" s="9" t="s">
        <v>620</v>
      </c>
      <c r="L1" s="9"/>
      <c r="M1" s="9"/>
      <c r="N1" s="9" t="s">
        <v>621</v>
      </c>
      <c r="O1" s="9"/>
      <c r="P1" s="9"/>
      <c r="Q1" s="9" t="s">
        <v>622</v>
      </c>
      <c r="R1" s="9"/>
      <c r="S1" s="9"/>
      <c r="T1" s="9" t="s">
        <v>623</v>
      </c>
      <c r="U1" s="9"/>
      <c r="V1" s="9"/>
      <c r="W1" s="9" t="s">
        <v>624</v>
      </c>
      <c r="X1" s="9"/>
      <c r="Y1" s="9"/>
      <c r="Z1" s="9" t="s">
        <v>625</v>
      </c>
      <c r="AA1" s="9"/>
      <c r="AB1" s="9"/>
    </row>
    <row r="2" spans="1:28" x14ac:dyDescent="0.25">
      <c r="A2" t="s">
        <v>0</v>
      </c>
      <c r="B2" t="s">
        <v>1</v>
      </c>
      <c r="C2" t="s">
        <v>616</v>
      </c>
      <c r="D2" t="s">
        <v>216</v>
      </c>
      <c r="E2" t="s">
        <v>1</v>
      </c>
      <c r="F2" t="s">
        <v>616</v>
      </c>
      <c r="G2" t="s">
        <v>216</v>
      </c>
      <c r="H2" t="s">
        <v>1</v>
      </c>
      <c r="I2" t="s">
        <v>616</v>
      </c>
      <c r="J2" t="s">
        <v>216</v>
      </c>
      <c r="K2" t="s">
        <v>1</v>
      </c>
      <c r="L2" t="s">
        <v>616</v>
      </c>
      <c r="M2" t="s">
        <v>216</v>
      </c>
      <c r="N2" t="s">
        <v>1</v>
      </c>
      <c r="O2" t="s">
        <v>616</v>
      </c>
      <c r="P2" t="s">
        <v>216</v>
      </c>
      <c r="Q2" t="s">
        <v>1</v>
      </c>
      <c r="R2" t="s">
        <v>616</v>
      </c>
      <c r="S2" t="s">
        <v>216</v>
      </c>
      <c r="T2" t="s">
        <v>1</v>
      </c>
      <c r="U2" t="s">
        <v>616</v>
      </c>
      <c r="V2" t="s">
        <v>216</v>
      </c>
      <c r="W2" t="s">
        <v>1</v>
      </c>
      <c r="X2" t="s">
        <v>616</v>
      </c>
      <c r="Y2" t="s">
        <v>216</v>
      </c>
      <c r="Z2" t="s">
        <v>1</v>
      </c>
      <c r="AA2" t="s">
        <v>616</v>
      </c>
      <c r="AB2" t="s">
        <v>216</v>
      </c>
    </row>
    <row r="4" spans="1:28" x14ac:dyDescent="0.25">
      <c r="A4" t="s">
        <v>2</v>
      </c>
      <c r="B4" t="s">
        <v>3</v>
      </c>
      <c r="C4" t="s">
        <v>4</v>
      </c>
      <c r="D4" t="s">
        <v>5</v>
      </c>
    </row>
    <row r="5" spans="1:28" x14ac:dyDescent="0.25">
      <c r="B5" t="s">
        <v>6</v>
      </c>
      <c r="C5" t="s">
        <v>7</v>
      </c>
      <c r="D5" t="s">
        <v>8</v>
      </c>
    </row>
    <row r="6" spans="1:2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  <c r="W6" t="s">
        <v>31</v>
      </c>
      <c r="X6" t="s">
        <v>32</v>
      </c>
      <c r="Y6" t="s">
        <v>33</v>
      </c>
      <c r="Z6" t="s">
        <v>34</v>
      </c>
      <c r="AA6" t="s">
        <v>35</v>
      </c>
      <c r="AB6" t="s">
        <v>36</v>
      </c>
    </row>
    <row r="7" spans="1:28" x14ac:dyDescent="0.25"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58</v>
      </c>
      <c r="X7" t="s">
        <v>59</v>
      </c>
      <c r="Y7" t="s">
        <v>60</v>
      </c>
      <c r="Z7" t="s">
        <v>56</v>
      </c>
      <c r="AA7" t="s">
        <v>61</v>
      </c>
      <c r="AB7" t="s">
        <v>46</v>
      </c>
    </row>
    <row r="8" spans="1:28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70</v>
      </c>
      <c r="P8" t="s">
        <v>76</v>
      </c>
      <c r="Q8" t="s">
        <v>77</v>
      </c>
      <c r="R8" t="s">
        <v>78</v>
      </c>
      <c r="S8" t="s">
        <v>79</v>
      </c>
      <c r="T8" t="s">
        <v>80</v>
      </c>
      <c r="U8" t="s">
        <v>81</v>
      </c>
      <c r="V8" t="s">
        <v>82</v>
      </c>
      <c r="W8" t="s">
        <v>83</v>
      </c>
      <c r="X8" t="s">
        <v>84</v>
      </c>
      <c r="Y8" t="s">
        <v>85</v>
      </c>
      <c r="Z8" t="s">
        <v>86</v>
      </c>
      <c r="AA8" t="s">
        <v>63</v>
      </c>
      <c r="AB8" t="s">
        <v>87</v>
      </c>
    </row>
    <row r="9" spans="1:28" x14ac:dyDescent="0.25"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  <c r="O9" t="s">
        <v>101</v>
      </c>
      <c r="P9" t="s">
        <v>102</v>
      </c>
      <c r="Q9" t="s">
        <v>103</v>
      </c>
      <c r="R9" t="s">
        <v>104</v>
      </c>
      <c r="S9" t="s">
        <v>105</v>
      </c>
      <c r="T9" t="s">
        <v>106</v>
      </c>
      <c r="U9" t="s">
        <v>107</v>
      </c>
      <c r="V9" t="s">
        <v>88</v>
      </c>
      <c r="W9" t="s">
        <v>108</v>
      </c>
      <c r="X9" t="s">
        <v>109</v>
      </c>
      <c r="Y9" t="s">
        <v>110</v>
      </c>
      <c r="Z9" t="s">
        <v>89</v>
      </c>
      <c r="AA9" t="s">
        <v>111</v>
      </c>
      <c r="AB9" t="s">
        <v>112</v>
      </c>
    </row>
    <row r="10" spans="1:28" x14ac:dyDescent="0.25">
      <c r="A10" t="s">
        <v>113</v>
      </c>
      <c r="E10" t="s">
        <v>114</v>
      </c>
      <c r="F10" t="s">
        <v>115</v>
      </c>
      <c r="G10" t="s">
        <v>116</v>
      </c>
    </row>
    <row r="11" spans="1:28" x14ac:dyDescent="0.25">
      <c r="E11" s="1">
        <v>-3295</v>
      </c>
      <c r="F11" s="1">
        <v>-5014</v>
      </c>
      <c r="G11" s="1">
        <v>-6548</v>
      </c>
    </row>
    <row r="12" spans="1:28" x14ac:dyDescent="0.25">
      <c r="A12" t="s">
        <v>117</v>
      </c>
      <c r="H12" t="s">
        <v>118</v>
      </c>
      <c r="I12" t="s">
        <v>119</v>
      </c>
      <c r="J12" t="s">
        <v>120</v>
      </c>
    </row>
    <row r="13" spans="1:28" x14ac:dyDescent="0.25">
      <c r="H13" t="s">
        <v>121</v>
      </c>
      <c r="I13" t="s">
        <v>122</v>
      </c>
      <c r="J13" t="s">
        <v>123</v>
      </c>
    </row>
    <row r="14" spans="1:28" x14ac:dyDescent="0.25">
      <c r="A14" t="s">
        <v>124</v>
      </c>
      <c r="K14" t="s">
        <v>125</v>
      </c>
      <c r="L14" t="s">
        <v>126</v>
      </c>
      <c r="M14" t="s">
        <v>127</v>
      </c>
    </row>
    <row r="15" spans="1:28" x14ac:dyDescent="0.25">
      <c r="K15" t="s">
        <v>128</v>
      </c>
      <c r="L15" t="s">
        <v>129</v>
      </c>
      <c r="M15" t="s">
        <v>130</v>
      </c>
    </row>
    <row r="16" spans="1:28" x14ac:dyDescent="0.25">
      <c r="A16" t="s">
        <v>131</v>
      </c>
      <c r="N16" t="s">
        <v>132</v>
      </c>
      <c r="O16" t="s">
        <v>133</v>
      </c>
      <c r="P16" t="s">
        <v>134</v>
      </c>
    </row>
    <row r="17" spans="1:28" x14ac:dyDescent="0.25">
      <c r="N17" t="s">
        <v>135</v>
      </c>
      <c r="O17" t="s">
        <v>136</v>
      </c>
      <c r="P17" t="s">
        <v>137</v>
      </c>
    </row>
    <row r="18" spans="1:28" x14ac:dyDescent="0.25">
      <c r="A18" t="s">
        <v>138</v>
      </c>
      <c r="Q18" t="s">
        <v>139</v>
      </c>
      <c r="R18" t="s">
        <v>140</v>
      </c>
      <c r="S18" t="s">
        <v>141</v>
      </c>
    </row>
    <row r="19" spans="1:28" x14ac:dyDescent="0.25">
      <c r="Q19" t="s">
        <v>142</v>
      </c>
      <c r="R19" t="s">
        <v>143</v>
      </c>
      <c r="S19" t="s">
        <v>144</v>
      </c>
    </row>
    <row r="20" spans="1:28" x14ac:dyDescent="0.25">
      <c r="A20" t="s">
        <v>145</v>
      </c>
      <c r="T20" t="s">
        <v>146</v>
      </c>
      <c r="U20" t="s">
        <v>147</v>
      </c>
      <c r="V20" t="s">
        <v>148</v>
      </c>
    </row>
    <row r="21" spans="1:28" x14ac:dyDescent="0.25">
      <c r="T21" s="1">
        <v>-1361</v>
      </c>
      <c r="U21" s="1">
        <v>-2510</v>
      </c>
      <c r="V21" s="1">
        <v>-3524</v>
      </c>
    </row>
    <row r="22" spans="1:28" x14ac:dyDescent="0.25">
      <c r="A22" t="s">
        <v>149</v>
      </c>
      <c r="W22" t="s">
        <v>150</v>
      </c>
      <c r="X22" t="s">
        <v>151</v>
      </c>
      <c r="Y22" t="s">
        <v>152</v>
      </c>
    </row>
    <row r="23" spans="1:28" x14ac:dyDescent="0.25">
      <c r="W23">
        <v>-2.4929999999999999</v>
      </c>
      <c r="X23">
        <v>-2.2959999999999998</v>
      </c>
      <c r="Y23">
        <v>-2.09</v>
      </c>
    </row>
    <row r="24" spans="1:28" x14ac:dyDescent="0.25">
      <c r="A24" t="s">
        <v>153</v>
      </c>
      <c r="Z24" t="s">
        <v>154</v>
      </c>
      <c r="AA24" t="s">
        <v>155</v>
      </c>
      <c r="AB24" t="s">
        <v>156</v>
      </c>
    </row>
    <row r="25" spans="1:28" x14ac:dyDescent="0.25">
      <c r="Z25" t="s">
        <v>157</v>
      </c>
      <c r="AA25" t="s">
        <v>158</v>
      </c>
      <c r="AB25" t="s">
        <v>159</v>
      </c>
    </row>
    <row r="26" spans="1:28" x14ac:dyDescent="0.2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  <c r="I26" t="s">
        <v>168</v>
      </c>
      <c r="J26" t="s">
        <v>169</v>
      </c>
      <c r="K26" t="s">
        <v>170</v>
      </c>
      <c r="L26" t="s">
        <v>171</v>
      </c>
      <c r="M26" t="s">
        <v>172</v>
      </c>
      <c r="N26" t="s">
        <v>173</v>
      </c>
      <c r="O26" t="s">
        <v>174</v>
      </c>
      <c r="P26" t="s">
        <v>175</v>
      </c>
      <c r="Q26" t="s">
        <v>176</v>
      </c>
      <c r="R26" t="s">
        <v>177</v>
      </c>
      <c r="S26" t="s">
        <v>178</v>
      </c>
      <c r="T26" t="s">
        <v>179</v>
      </c>
      <c r="U26" t="s">
        <v>180</v>
      </c>
      <c r="V26" t="s">
        <v>181</v>
      </c>
      <c r="W26" t="s">
        <v>182</v>
      </c>
      <c r="X26" t="s">
        <v>183</v>
      </c>
      <c r="Y26" t="s">
        <v>184</v>
      </c>
      <c r="Z26" t="s">
        <v>185</v>
      </c>
      <c r="AA26" t="s">
        <v>186</v>
      </c>
      <c r="AB26" t="s">
        <v>187</v>
      </c>
    </row>
    <row r="27" spans="1:28" x14ac:dyDescent="0.25"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196</v>
      </c>
      <c r="K27" t="s">
        <v>197</v>
      </c>
      <c r="L27" t="s">
        <v>198</v>
      </c>
      <c r="M27" t="s">
        <v>199</v>
      </c>
      <c r="N27" t="s">
        <v>200</v>
      </c>
      <c r="O27" t="s">
        <v>201</v>
      </c>
      <c r="P27" t="s">
        <v>202</v>
      </c>
      <c r="Q27" t="s">
        <v>203</v>
      </c>
      <c r="R27" t="s">
        <v>204</v>
      </c>
      <c r="S27" t="s">
        <v>205</v>
      </c>
      <c r="T27" t="s">
        <v>206</v>
      </c>
      <c r="U27" t="s">
        <v>207</v>
      </c>
      <c r="V27" t="s">
        <v>202</v>
      </c>
      <c r="W27" t="s">
        <v>208</v>
      </c>
      <c r="X27" t="s">
        <v>209</v>
      </c>
      <c r="Y27" t="s">
        <v>210</v>
      </c>
      <c r="Z27" t="s">
        <v>211</v>
      </c>
      <c r="AA27" t="s">
        <v>212</v>
      </c>
      <c r="AB27" t="s">
        <v>213</v>
      </c>
    </row>
    <row r="29" spans="1:28" x14ac:dyDescent="0.25">
      <c r="A29" t="s">
        <v>214</v>
      </c>
      <c r="B29">
        <v>11.683</v>
      </c>
      <c r="C29">
        <v>11.683</v>
      </c>
      <c r="D29">
        <v>11.683</v>
      </c>
      <c r="E29">
        <v>11.683</v>
      </c>
      <c r="F29">
        <v>11.683</v>
      </c>
      <c r="G29">
        <v>11.683</v>
      </c>
      <c r="H29">
        <v>11.683</v>
      </c>
      <c r="I29">
        <v>11.683</v>
      </c>
      <c r="J29">
        <v>11.683</v>
      </c>
      <c r="K29">
        <v>11.683</v>
      </c>
      <c r="L29">
        <v>11.683</v>
      </c>
      <c r="M29">
        <v>11.683</v>
      </c>
      <c r="N29">
        <v>11.683</v>
      </c>
      <c r="O29">
        <v>11.683</v>
      </c>
      <c r="P29">
        <v>11.683</v>
      </c>
      <c r="Q29">
        <v>11.683</v>
      </c>
      <c r="R29">
        <v>11.683</v>
      </c>
      <c r="S29">
        <v>11.683</v>
      </c>
      <c r="T29">
        <v>11.683</v>
      </c>
      <c r="U29">
        <v>11.683</v>
      </c>
      <c r="V29">
        <v>11.683</v>
      </c>
      <c r="W29">
        <v>11.683</v>
      </c>
      <c r="X29">
        <v>11.683</v>
      </c>
      <c r="Y29">
        <v>11.683</v>
      </c>
      <c r="Z29">
        <v>11.683</v>
      </c>
      <c r="AA29">
        <v>11.683</v>
      </c>
      <c r="AB29">
        <v>11.683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"/>
  <sheetViews>
    <sheetView workbookViewId="0">
      <selection activeCell="D20" sqref="D20"/>
    </sheetView>
  </sheetViews>
  <sheetFormatPr baseColWidth="10" defaultRowHeight="15" x14ac:dyDescent="0.25"/>
  <sheetData>
    <row r="1" spans="1:55" x14ac:dyDescent="0.25">
      <c r="B1" s="9" t="s">
        <v>598</v>
      </c>
      <c r="C1" s="9"/>
      <c r="D1" s="9"/>
      <c r="E1" s="9" t="s">
        <v>599</v>
      </c>
      <c r="F1" s="9"/>
      <c r="G1" s="9"/>
      <c r="H1" s="9" t="s">
        <v>600</v>
      </c>
      <c r="I1" s="9"/>
      <c r="J1" s="9"/>
      <c r="K1" s="9" t="s">
        <v>601</v>
      </c>
      <c r="L1" s="9"/>
      <c r="M1" s="9"/>
      <c r="N1" s="9" t="s">
        <v>602</v>
      </c>
      <c r="O1" s="9"/>
      <c r="P1" s="9"/>
      <c r="Q1" s="9" t="s">
        <v>603</v>
      </c>
      <c r="R1" s="9"/>
      <c r="S1" s="9"/>
      <c r="T1" s="9" t="s">
        <v>604</v>
      </c>
      <c r="U1" s="9"/>
      <c r="V1" s="9"/>
      <c r="W1" s="9" t="s">
        <v>605</v>
      </c>
      <c r="X1" s="9"/>
      <c r="Y1" s="9"/>
      <c r="Z1" s="9" t="s">
        <v>606</v>
      </c>
      <c r="AA1" s="9"/>
      <c r="AB1" s="9"/>
      <c r="AC1" s="9" t="s">
        <v>607</v>
      </c>
      <c r="AD1" s="9"/>
      <c r="AE1" s="9"/>
      <c r="AF1" s="9" t="s">
        <v>608</v>
      </c>
      <c r="AG1" s="9"/>
      <c r="AH1" s="9"/>
      <c r="AI1" s="9" t="s">
        <v>609</v>
      </c>
      <c r="AJ1" s="9"/>
      <c r="AK1" s="9"/>
      <c r="AL1" s="9" t="s">
        <v>610</v>
      </c>
      <c r="AM1" s="9"/>
      <c r="AN1" s="9"/>
      <c r="AO1" s="9" t="s">
        <v>611</v>
      </c>
      <c r="AP1" s="9"/>
      <c r="AQ1" s="9"/>
      <c r="AR1" s="9" t="s">
        <v>612</v>
      </c>
      <c r="AS1" s="9"/>
      <c r="AT1" s="9"/>
      <c r="AU1" s="9" t="s">
        <v>613</v>
      </c>
      <c r="AV1" s="9"/>
      <c r="AW1" s="9"/>
      <c r="AX1" s="9" t="s">
        <v>614</v>
      </c>
      <c r="AY1" s="9"/>
      <c r="AZ1" s="9"/>
      <c r="BA1" s="9" t="s">
        <v>615</v>
      </c>
      <c r="BB1" s="9"/>
      <c r="BC1" s="9"/>
    </row>
    <row r="2" spans="1:55" x14ac:dyDescent="0.25">
      <c r="B2" t="s">
        <v>1</v>
      </c>
      <c r="C2" t="s">
        <v>215</v>
      </c>
      <c r="D2" t="s">
        <v>216</v>
      </c>
      <c r="E2" t="s">
        <v>1</v>
      </c>
      <c r="F2" t="s">
        <v>215</v>
      </c>
      <c r="G2" t="s">
        <v>216</v>
      </c>
      <c r="H2" t="s">
        <v>1</v>
      </c>
      <c r="I2" t="s">
        <v>215</v>
      </c>
      <c r="J2" t="s">
        <v>216</v>
      </c>
      <c r="K2" t="s">
        <v>1</v>
      </c>
      <c r="L2" t="s">
        <v>215</v>
      </c>
      <c r="M2" t="s">
        <v>216</v>
      </c>
      <c r="N2" t="s">
        <v>1</v>
      </c>
      <c r="O2" t="s">
        <v>215</v>
      </c>
      <c r="P2" t="s">
        <v>216</v>
      </c>
      <c r="Q2" t="s">
        <v>1</v>
      </c>
      <c r="R2" t="s">
        <v>215</v>
      </c>
      <c r="S2" t="s">
        <v>216</v>
      </c>
      <c r="T2" t="s">
        <v>1</v>
      </c>
      <c r="U2" t="s">
        <v>215</v>
      </c>
      <c r="V2" t="s">
        <v>216</v>
      </c>
      <c r="W2" t="s">
        <v>1</v>
      </c>
      <c r="X2" t="s">
        <v>215</v>
      </c>
      <c r="Y2" t="s">
        <v>216</v>
      </c>
      <c r="Z2" t="s">
        <v>1</v>
      </c>
      <c r="AA2" t="s">
        <v>215</v>
      </c>
      <c r="AB2" t="s">
        <v>216</v>
      </c>
      <c r="AC2" t="s">
        <v>1</v>
      </c>
      <c r="AD2" t="s">
        <v>215</v>
      </c>
      <c r="AE2" t="s">
        <v>216</v>
      </c>
      <c r="AF2" t="s">
        <v>1</v>
      </c>
      <c r="AG2" t="s">
        <v>215</v>
      </c>
      <c r="AH2" t="s">
        <v>216</v>
      </c>
      <c r="AI2" t="s">
        <v>1</v>
      </c>
      <c r="AJ2" t="s">
        <v>215</v>
      </c>
      <c r="AK2" t="s">
        <v>216</v>
      </c>
      <c r="AL2" t="s">
        <v>1</v>
      </c>
      <c r="AM2" t="s">
        <v>215</v>
      </c>
      <c r="AN2" t="s">
        <v>216</v>
      </c>
      <c r="AO2" t="s">
        <v>1</v>
      </c>
      <c r="AP2" t="s">
        <v>215</v>
      </c>
      <c r="AQ2" t="s">
        <v>216</v>
      </c>
      <c r="AR2" t="s">
        <v>1</v>
      </c>
      <c r="AS2" t="s">
        <v>215</v>
      </c>
      <c r="AT2" t="s">
        <v>216</v>
      </c>
      <c r="AU2" t="s">
        <v>1</v>
      </c>
      <c r="AV2" t="s">
        <v>215</v>
      </c>
      <c r="AW2" t="s">
        <v>216</v>
      </c>
      <c r="AX2" t="s">
        <v>1</v>
      </c>
      <c r="AY2" t="s">
        <v>215</v>
      </c>
      <c r="AZ2" t="s">
        <v>216</v>
      </c>
      <c r="BA2" t="s">
        <v>1</v>
      </c>
      <c r="BB2" t="s">
        <v>215</v>
      </c>
      <c r="BC2" t="s">
        <v>216</v>
      </c>
    </row>
    <row r="4" spans="1:55" x14ac:dyDescent="0.25">
      <c r="A4" t="s">
        <v>217</v>
      </c>
      <c r="B4" t="s">
        <v>218</v>
      </c>
      <c r="C4" t="s">
        <v>219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225</v>
      </c>
      <c r="J4" t="s">
        <v>226</v>
      </c>
      <c r="K4" t="s">
        <v>227</v>
      </c>
      <c r="L4" t="s">
        <v>228</v>
      </c>
      <c r="M4" t="s">
        <v>229</v>
      </c>
      <c r="N4" t="s">
        <v>230</v>
      </c>
      <c r="O4" t="s">
        <v>231</v>
      </c>
      <c r="P4" t="s">
        <v>232</v>
      </c>
      <c r="Q4" t="s">
        <v>233</v>
      </c>
      <c r="R4" t="s">
        <v>234</v>
      </c>
      <c r="S4" t="s">
        <v>235</v>
      </c>
      <c r="T4" t="s">
        <v>236</v>
      </c>
      <c r="U4" t="s">
        <v>237</v>
      </c>
      <c r="V4" t="s">
        <v>238</v>
      </c>
      <c r="W4" t="s">
        <v>239</v>
      </c>
      <c r="X4" t="s">
        <v>240</v>
      </c>
      <c r="Y4" t="s">
        <v>241</v>
      </c>
      <c r="Z4" t="s">
        <v>242</v>
      </c>
      <c r="AA4" t="s">
        <v>120</v>
      </c>
      <c r="AB4" t="s">
        <v>243</v>
      </c>
      <c r="AC4" t="s">
        <v>244</v>
      </c>
      <c r="AD4" t="s">
        <v>245</v>
      </c>
      <c r="AE4" t="s">
        <v>246</v>
      </c>
      <c r="AF4" t="s">
        <v>247</v>
      </c>
      <c r="AG4" t="s">
        <v>248</v>
      </c>
      <c r="AH4" t="s">
        <v>249</v>
      </c>
      <c r="AI4" t="s">
        <v>250</v>
      </c>
      <c r="AJ4" t="s">
        <v>251</v>
      </c>
      <c r="AK4" t="s">
        <v>252</v>
      </c>
      <c r="AL4" t="s">
        <v>253</v>
      </c>
      <c r="AM4" t="s">
        <v>254</v>
      </c>
      <c r="AN4" t="s">
        <v>255</v>
      </c>
      <c r="AO4" t="s">
        <v>256</v>
      </c>
      <c r="AP4" t="s">
        <v>257</v>
      </c>
      <c r="AQ4" t="s">
        <v>258</v>
      </c>
      <c r="AR4" t="s">
        <v>259</v>
      </c>
      <c r="AS4" t="s">
        <v>260</v>
      </c>
      <c r="AT4" t="s">
        <v>261</v>
      </c>
      <c r="AU4" t="s">
        <v>262</v>
      </c>
      <c r="AV4" t="s">
        <v>263</v>
      </c>
      <c r="AW4" t="s">
        <v>264</v>
      </c>
      <c r="AX4" t="s">
        <v>265</v>
      </c>
      <c r="AY4" t="s">
        <v>266</v>
      </c>
      <c r="AZ4" t="s">
        <v>267</v>
      </c>
      <c r="BA4" t="s">
        <v>268</v>
      </c>
      <c r="BB4" t="s">
        <v>269</v>
      </c>
      <c r="BC4" t="s">
        <v>270</v>
      </c>
    </row>
    <row r="5" spans="1:55" x14ac:dyDescent="0.25">
      <c r="B5" s="1">
        <v>-1003</v>
      </c>
      <c r="C5" t="s">
        <v>271</v>
      </c>
      <c r="D5" s="1">
        <v>-1153</v>
      </c>
      <c r="E5" t="s">
        <v>272</v>
      </c>
      <c r="F5" t="s">
        <v>273</v>
      </c>
      <c r="G5" t="s">
        <v>194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128</v>
      </c>
      <c r="Q5" t="s">
        <v>282</v>
      </c>
      <c r="R5" t="s">
        <v>274</v>
      </c>
      <c r="S5" t="s">
        <v>199</v>
      </c>
      <c r="T5" t="s">
        <v>283</v>
      </c>
      <c r="U5" t="s">
        <v>284</v>
      </c>
      <c r="V5" t="s">
        <v>285</v>
      </c>
      <c r="W5" t="s">
        <v>286</v>
      </c>
      <c r="X5" t="s">
        <v>287</v>
      </c>
      <c r="Y5" t="s">
        <v>288</v>
      </c>
      <c r="Z5" t="s">
        <v>289</v>
      </c>
      <c r="AA5" t="s">
        <v>290</v>
      </c>
      <c r="AB5" t="s">
        <v>283</v>
      </c>
      <c r="AC5" t="s">
        <v>291</v>
      </c>
      <c r="AD5" t="s">
        <v>282</v>
      </c>
      <c r="AE5" t="s">
        <v>292</v>
      </c>
      <c r="AF5" t="s">
        <v>293</v>
      </c>
      <c r="AG5" t="s">
        <v>294</v>
      </c>
      <c r="AH5" t="s">
        <v>295</v>
      </c>
      <c r="AI5" t="s">
        <v>296</v>
      </c>
      <c r="AJ5" t="s">
        <v>297</v>
      </c>
      <c r="AK5" t="s">
        <v>298</v>
      </c>
      <c r="AL5" t="s">
        <v>299</v>
      </c>
      <c r="AM5" t="s">
        <v>300</v>
      </c>
      <c r="AN5" t="s">
        <v>301</v>
      </c>
      <c r="AO5" t="s">
        <v>302</v>
      </c>
      <c r="AP5" t="s">
        <v>289</v>
      </c>
      <c r="AQ5" t="s">
        <v>303</v>
      </c>
      <c r="AR5" t="s">
        <v>304</v>
      </c>
      <c r="AS5" t="s">
        <v>305</v>
      </c>
      <c r="AT5" t="s">
        <v>306</v>
      </c>
      <c r="AU5" t="s">
        <v>307</v>
      </c>
      <c r="AV5" t="s">
        <v>285</v>
      </c>
      <c r="AW5" t="s">
        <v>308</v>
      </c>
      <c r="AX5" t="s">
        <v>309</v>
      </c>
      <c r="AY5" t="s">
        <v>310</v>
      </c>
      <c r="AZ5" t="s">
        <v>311</v>
      </c>
      <c r="BA5" t="s">
        <v>312</v>
      </c>
      <c r="BB5" t="s">
        <v>294</v>
      </c>
      <c r="BC5" t="s">
        <v>313</v>
      </c>
    </row>
    <row r="6" spans="1:55" x14ac:dyDescent="0.25">
      <c r="A6" t="s">
        <v>9</v>
      </c>
      <c r="B6" t="s">
        <v>314</v>
      </c>
      <c r="C6" t="s">
        <v>315</v>
      </c>
      <c r="D6" t="s">
        <v>316</v>
      </c>
      <c r="E6" t="s">
        <v>317</v>
      </c>
      <c r="F6" t="s">
        <v>20</v>
      </c>
      <c r="G6" t="s">
        <v>318</v>
      </c>
      <c r="H6" t="s">
        <v>319</v>
      </c>
      <c r="I6" t="s">
        <v>320</v>
      </c>
      <c r="J6" t="s">
        <v>321</v>
      </c>
      <c r="K6" t="s">
        <v>322</v>
      </c>
      <c r="L6" t="s">
        <v>323</v>
      </c>
      <c r="M6" t="s">
        <v>324</v>
      </c>
      <c r="N6" t="s">
        <v>325</v>
      </c>
      <c r="O6" t="s">
        <v>326</v>
      </c>
      <c r="P6" t="s">
        <v>327</v>
      </c>
      <c r="Q6" t="s">
        <v>328</v>
      </c>
      <c r="R6" t="s">
        <v>329</v>
      </c>
      <c r="S6" t="s">
        <v>330</v>
      </c>
      <c r="T6" t="s">
        <v>331</v>
      </c>
      <c r="U6" t="s">
        <v>332</v>
      </c>
      <c r="V6" t="s">
        <v>333</v>
      </c>
      <c r="W6" t="s">
        <v>334</v>
      </c>
      <c r="X6" t="s">
        <v>335</v>
      </c>
      <c r="Y6" t="s">
        <v>336</v>
      </c>
      <c r="Z6" t="s">
        <v>337</v>
      </c>
      <c r="AA6" t="s">
        <v>338</v>
      </c>
      <c r="AB6" t="s">
        <v>339</v>
      </c>
      <c r="AC6" t="s">
        <v>340</v>
      </c>
      <c r="AD6" t="s">
        <v>341</v>
      </c>
      <c r="AE6" t="s">
        <v>342</v>
      </c>
      <c r="AF6" t="s">
        <v>343</v>
      </c>
      <c r="AG6" t="s">
        <v>344</v>
      </c>
      <c r="AH6" t="s">
        <v>345</v>
      </c>
      <c r="AI6" t="s">
        <v>346</v>
      </c>
      <c r="AJ6" t="s">
        <v>347</v>
      </c>
      <c r="AK6" t="s">
        <v>348</v>
      </c>
      <c r="AL6" t="s">
        <v>349</v>
      </c>
      <c r="AM6" t="s">
        <v>350</v>
      </c>
      <c r="AN6" t="s">
        <v>351</v>
      </c>
      <c r="AO6" t="s">
        <v>352</v>
      </c>
      <c r="AP6" t="s">
        <v>353</v>
      </c>
      <c r="AQ6" t="s">
        <v>354</v>
      </c>
      <c r="AR6" t="s">
        <v>355</v>
      </c>
      <c r="AS6" t="s">
        <v>356</v>
      </c>
      <c r="AT6" t="s">
        <v>357</v>
      </c>
      <c r="AU6" t="s">
        <v>358</v>
      </c>
      <c r="AV6" t="s">
        <v>359</v>
      </c>
      <c r="AW6" t="s">
        <v>360</v>
      </c>
      <c r="AX6" t="s">
        <v>361</v>
      </c>
      <c r="AY6" t="s">
        <v>362</v>
      </c>
      <c r="AZ6" t="s">
        <v>363</v>
      </c>
      <c r="BA6" t="s">
        <v>364</v>
      </c>
      <c r="BB6" t="s">
        <v>365</v>
      </c>
      <c r="BC6" t="s">
        <v>357</v>
      </c>
    </row>
    <row r="7" spans="1:55" x14ac:dyDescent="0.25">
      <c r="B7" t="s">
        <v>366</v>
      </c>
      <c r="C7" t="s">
        <v>367</v>
      </c>
      <c r="D7" t="s">
        <v>142</v>
      </c>
      <c r="E7" t="s">
        <v>367</v>
      </c>
      <c r="F7" t="s">
        <v>368</v>
      </c>
      <c r="G7" t="s">
        <v>369</v>
      </c>
      <c r="H7" t="s">
        <v>370</v>
      </c>
      <c r="I7" t="s">
        <v>371</v>
      </c>
      <c r="J7" t="s">
        <v>372</v>
      </c>
      <c r="K7" t="s">
        <v>373</v>
      </c>
      <c r="L7" t="s">
        <v>374</v>
      </c>
      <c r="M7" t="s">
        <v>369</v>
      </c>
      <c r="N7" t="s">
        <v>204</v>
      </c>
      <c r="O7" t="s">
        <v>375</v>
      </c>
      <c r="P7" t="s">
        <v>376</v>
      </c>
      <c r="Q7" t="s">
        <v>377</v>
      </c>
      <c r="R7" t="s">
        <v>378</v>
      </c>
      <c r="S7" t="s">
        <v>379</v>
      </c>
      <c r="T7" t="s">
        <v>380</v>
      </c>
      <c r="U7" t="s">
        <v>381</v>
      </c>
      <c r="V7" t="s">
        <v>374</v>
      </c>
      <c r="W7" t="s">
        <v>194</v>
      </c>
      <c r="X7" t="s">
        <v>382</v>
      </c>
      <c r="Y7" t="s">
        <v>367</v>
      </c>
      <c r="Z7" t="s">
        <v>383</v>
      </c>
      <c r="AA7" t="s">
        <v>304</v>
      </c>
      <c r="AB7" t="s">
        <v>384</v>
      </c>
      <c r="AC7" t="s">
        <v>385</v>
      </c>
      <c r="AD7" t="s">
        <v>386</v>
      </c>
      <c r="AE7" t="s">
        <v>387</v>
      </c>
      <c r="AF7" t="s">
        <v>388</v>
      </c>
      <c r="AG7" t="s">
        <v>273</v>
      </c>
      <c r="AH7" t="s">
        <v>370</v>
      </c>
      <c r="AI7" t="s">
        <v>389</v>
      </c>
      <c r="AJ7" t="s">
        <v>390</v>
      </c>
      <c r="AK7" t="s">
        <v>287</v>
      </c>
      <c r="AL7" t="s">
        <v>391</v>
      </c>
      <c r="AM7" t="s">
        <v>392</v>
      </c>
      <c r="AN7" t="s">
        <v>393</v>
      </c>
      <c r="AO7" t="s">
        <v>394</v>
      </c>
      <c r="AP7" t="s">
        <v>395</v>
      </c>
      <c r="AQ7" t="s">
        <v>396</v>
      </c>
      <c r="AR7" t="s">
        <v>397</v>
      </c>
      <c r="AS7" t="s">
        <v>398</v>
      </c>
      <c r="AT7" t="s">
        <v>399</v>
      </c>
      <c r="AU7" t="s">
        <v>400</v>
      </c>
      <c r="AV7" t="s">
        <v>195</v>
      </c>
      <c r="AW7" t="s">
        <v>273</v>
      </c>
      <c r="AX7" t="s">
        <v>401</v>
      </c>
      <c r="AY7" t="s">
        <v>402</v>
      </c>
      <c r="AZ7" t="s">
        <v>189</v>
      </c>
      <c r="BA7" t="s">
        <v>403</v>
      </c>
      <c r="BB7" t="s">
        <v>404</v>
      </c>
      <c r="BC7" t="s">
        <v>405</v>
      </c>
    </row>
    <row r="8" spans="1:55" x14ac:dyDescent="0.25">
      <c r="A8" t="s">
        <v>62</v>
      </c>
      <c r="B8" t="s">
        <v>406</v>
      </c>
      <c r="C8" t="s">
        <v>407</v>
      </c>
      <c r="D8" t="s">
        <v>408</v>
      </c>
      <c r="E8" t="s">
        <v>409</v>
      </c>
      <c r="F8" t="s">
        <v>410</v>
      </c>
      <c r="G8" t="s">
        <v>411</v>
      </c>
      <c r="H8" t="s">
        <v>412</v>
      </c>
      <c r="I8" t="s">
        <v>413</v>
      </c>
      <c r="J8" t="s">
        <v>414</v>
      </c>
      <c r="K8" t="s">
        <v>415</v>
      </c>
      <c r="L8" t="s">
        <v>416</v>
      </c>
      <c r="M8" t="s">
        <v>417</v>
      </c>
      <c r="N8" t="s">
        <v>418</v>
      </c>
      <c r="O8" t="s">
        <v>419</v>
      </c>
      <c r="P8" t="s">
        <v>420</v>
      </c>
      <c r="Q8" t="s">
        <v>421</v>
      </c>
      <c r="R8" t="s">
        <v>422</v>
      </c>
      <c r="S8" t="s">
        <v>423</v>
      </c>
      <c r="T8" t="s">
        <v>424</v>
      </c>
      <c r="U8" t="s">
        <v>83</v>
      </c>
      <c r="V8" t="s">
        <v>425</v>
      </c>
      <c r="W8" t="s">
        <v>426</v>
      </c>
      <c r="X8" t="s">
        <v>427</v>
      </c>
      <c r="Y8" t="s">
        <v>428</v>
      </c>
      <c r="Z8" t="s">
        <v>429</v>
      </c>
      <c r="AA8" t="s">
        <v>430</v>
      </c>
      <c r="AB8" t="s">
        <v>431</v>
      </c>
      <c r="AC8" t="s">
        <v>432</v>
      </c>
      <c r="AD8" t="s">
        <v>433</v>
      </c>
      <c r="AE8" t="s">
        <v>80</v>
      </c>
      <c r="AF8" t="s">
        <v>434</v>
      </c>
      <c r="AG8" t="s">
        <v>435</v>
      </c>
      <c r="AH8" t="s">
        <v>436</v>
      </c>
      <c r="AI8" t="s">
        <v>437</v>
      </c>
      <c r="AJ8" t="s">
        <v>438</v>
      </c>
      <c r="AK8" t="s">
        <v>439</v>
      </c>
      <c r="AL8" t="s">
        <v>440</v>
      </c>
      <c r="AM8" t="s">
        <v>441</v>
      </c>
      <c r="AN8" t="s">
        <v>442</v>
      </c>
      <c r="AO8" t="s">
        <v>443</v>
      </c>
      <c r="AP8" t="s">
        <v>444</v>
      </c>
      <c r="AQ8" t="s">
        <v>445</v>
      </c>
      <c r="AR8" t="s">
        <v>446</v>
      </c>
      <c r="AS8" t="s">
        <v>447</v>
      </c>
      <c r="AT8" t="s">
        <v>448</v>
      </c>
      <c r="AU8" t="s">
        <v>449</v>
      </c>
      <c r="AV8" t="s">
        <v>450</v>
      </c>
      <c r="AW8" t="s">
        <v>451</v>
      </c>
      <c r="AX8" t="s">
        <v>452</v>
      </c>
      <c r="AY8" t="s">
        <v>453</v>
      </c>
      <c r="AZ8" t="s">
        <v>454</v>
      </c>
      <c r="BA8" t="s">
        <v>455</v>
      </c>
      <c r="BB8" t="s">
        <v>456</v>
      </c>
      <c r="BC8" t="s">
        <v>457</v>
      </c>
    </row>
    <row r="9" spans="1:55" x14ac:dyDescent="0.25">
      <c r="B9" t="s">
        <v>458</v>
      </c>
      <c r="C9" t="s">
        <v>459</v>
      </c>
      <c r="D9" t="s">
        <v>460</v>
      </c>
      <c r="E9" t="s">
        <v>461</v>
      </c>
      <c r="F9" t="s">
        <v>462</v>
      </c>
      <c r="G9" t="s">
        <v>463</v>
      </c>
      <c r="H9" t="s">
        <v>464</v>
      </c>
      <c r="I9" t="s">
        <v>465</v>
      </c>
      <c r="J9" t="s">
        <v>466</v>
      </c>
      <c r="K9" t="s">
        <v>467</v>
      </c>
      <c r="L9" t="s">
        <v>468</v>
      </c>
      <c r="M9" t="s">
        <v>469</v>
      </c>
      <c r="N9" t="s">
        <v>470</v>
      </c>
      <c r="O9" t="s">
        <v>471</v>
      </c>
      <c r="P9" t="s">
        <v>472</v>
      </c>
      <c r="Q9" t="s">
        <v>473</v>
      </c>
      <c r="R9" t="s">
        <v>474</v>
      </c>
      <c r="S9" t="s">
        <v>475</v>
      </c>
      <c r="T9" t="s">
        <v>476</v>
      </c>
      <c r="U9" t="s">
        <v>109</v>
      </c>
      <c r="V9" t="s">
        <v>477</v>
      </c>
      <c r="W9" t="s">
        <v>478</v>
      </c>
      <c r="X9" t="s">
        <v>479</v>
      </c>
      <c r="Y9" t="s">
        <v>475</v>
      </c>
      <c r="Z9" t="s">
        <v>480</v>
      </c>
      <c r="AA9" t="s">
        <v>481</v>
      </c>
      <c r="AB9" t="s">
        <v>482</v>
      </c>
      <c r="AC9" t="s">
        <v>483</v>
      </c>
      <c r="AD9" t="s">
        <v>484</v>
      </c>
      <c r="AE9" t="s">
        <v>485</v>
      </c>
      <c r="AF9" t="s">
        <v>486</v>
      </c>
      <c r="AG9" t="s">
        <v>487</v>
      </c>
      <c r="AH9" t="s">
        <v>488</v>
      </c>
      <c r="AI9" t="s">
        <v>470</v>
      </c>
      <c r="AJ9" t="s">
        <v>489</v>
      </c>
      <c r="AK9" t="s">
        <v>490</v>
      </c>
      <c r="AL9" t="s">
        <v>491</v>
      </c>
      <c r="AM9" t="s">
        <v>492</v>
      </c>
      <c r="AN9" t="s">
        <v>493</v>
      </c>
      <c r="AO9" t="s">
        <v>110</v>
      </c>
      <c r="AP9" t="s">
        <v>494</v>
      </c>
      <c r="AQ9" t="s">
        <v>495</v>
      </c>
      <c r="AR9" t="s">
        <v>496</v>
      </c>
      <c r="AS9" t="s">
        <v>497</v>
      </c>
      <c r="AT9" t="s">
        <v>498</v>
      </c>
      <c r="AU9" t="s">
        <v>499</v>
      </c>
      <c r="AV9" t="s">
        <v>458</v>
      </c>
      <c r="AW9" t="s">
        <v>500</v>
      </c>
      <c r="AX9" t="s">
        <v>501</v>
      </c>
      <c r="AY9" t="s">
        <v>502</v>
      </c>
      <c r="AZ9" t="s">
        <v>503</v>
      </c>
      <c r="BA9" t="s">
        <v>504</v>
      </c>
      <c r="BB9" t="s">
        <v>496</v>
      </c>
      <c r="BC9" t="s">
        <v>505</v>
      </c>
    </row>
    <row r="10" spans="1:55" x14ac:dyDescent="0.25">
      <c r="A10" t="s">
        <v>160</v>
      </c>
      <c r="B10" t="s">
        <v>506</v>
      </c>
      <c r="C10" t="s">
        <v>507</v>
      </c>
      <c r="D10" t="s">
        <v>508</v>
      </c>
      <c r="E10" t="s">
        <v>509</v>
      </c>
      <c r="F10" t="s">
        <v>510</v>
      </c>
      <c r="G10" t="s">
        <v>511</v>
      </c>
      <c r="H10" t="s">
        <v>512</v>
      </c>
      <c r="I10" t="s">
        <v>513</v>
      </c>
      <c r="J10" t="s">
        <v>514</v>
      </c>
      <c r="K10" t="s">
        <v>515</v>
      </c>
      <c r="L10" t="s">
        <v>516</v>
      </c>
      <c r="M10" t="s">
        <v>517</v>
      </c>
      <c r="N10" t="s">
        <v>518</v>
      </c>
      <c r="O10" t="s">
        <v>519</v>
      </c>
      <c r="P10" t="s">
        <v>520</v>
      </c>
      <c r="Q10" t="s">
        <v>521</v>
      </c>
      <c r="R10" t="s">
        <v>522</v>
      </c>
      <c r="S10" t="s">
        <v>523</v>
      </c>
      <c r="T10" t="s">
        <v>524</v>
      </c>
      <c r="U10" t="s">
        <v>525</v>
      </c>
      <c r="V10" t="s">
        <v>526</v>
      </c>
      <c r="W10" t="s">
        <v>527</v>
      </c>
      <c r="X10" t="s">
        <v>528</v>
      </c>
      <c r="Y10" t="s">
        <v>529</v>
      </c>
      <c r="Z10" t="s">
        <v>530</v>
      </c>
      <c r="AA10" t="s">
        <v>531</v>
      </c>
      <c r="AB10" t="s">
        <v>532</v>
      </c>
      <c r="AC10" t="s">
        <v>533</v>
      </c>
      <c r="AD10" t="s">
        <v>534</v>
      </c>
      <c r="AE10" t="s">
        <v>535</v>
      </c>
      <c r="AF10" t="s">
        <v>174</v>
      </c>
      <c r="AG10" t="s">
        <v>536</v>
      </c>
      <c r="AH10" t="s">
        <v>537</v>
      </c>
      <c r="AI10" t="s">
        <v>538</v>
      </c>
      <c r="AJ10" t="s">
        <v>539</v>
      </c>
      <c r="AK10" t="s">
        <v>540</v>
      </c>
      <c r="AL10" t="s">
        <v>541</v>
      </c>
      <c r="AM10" t="s">
        <v>542</v>
      </c>
      <c r="AN10" t="s">
        <v>543</v>
      </c>
      <c r="AO10" t="s">
        <v>544</v>
      </c>
      <c r="AP10" t="s">
        <v>545</v>
      </c>
      <c r="AQ10" t="s">
        <v>546</v>
      </c>
      <c r="AR10" t="s">
        <v>527</v>
      </c>
      <c r="AS10" t="s">
        <v>514</v>
      </c>
      <c r="AT10" t="s">
        <v>547</v>
      </c>
      <c r="AU10" t="s">
        <v>548</v>
      </c>
      <c r="AV10" t="s">
        <v>549</v>
      </c>
      <c r="AW10" t="s">
        <v>529</v>
      </c>
      <c r="AX10" t="s">
        <v>550</v>
      </c>
      <c r="AY10" t="s">
        <v>551</v>
      </c>
      <c r="AZ10" t="s">
        <v>552</v>
      </c>
      <c r="BA10" t="s">
        <v>553</v>
      </c>
      <c r="BB10" t="s">
        <v>554</v>
      </c>
      <c r="BC10" t="s">
        <v>555</v>
      </c>
    </row>
    <row r="11" spans="1:55" x14ac:dyDescent="0.25">
      <c r="B11" s="1">
        <v>-1087</v>
      </c>
      <c r="C11" s="1">
        <v>-1093</v>
      </c>
      <c r="D11" s="1">
        <v>-1359</v>
      </c>
      <c r="E11" t="s">
        <v>556</v>
      </c>
      <c r="F11" t="s">
        <v>557</v>
      </c>
      <c r="G11" t="s">
        <v>558</v>
      </c>
      <c r="H11" t="s">
        <v>559</v>
      </c>
      <c r="I11" t="s">
        <v>560</v>
      </c>
      <c r="J11" t="s">
        <v>300</v>
      </c>
      <c r="K11" t="s">
        <v>561</v>
      </c>
      <c r="L11" t="s">
        <v>562</v>
      </c>
      <c r="M11" t="s">
        <v>563</v>
      </c>
      <c r="N11" t="s">
        <v>564</v>
      </c>
      <c r="O11" t="s">
        <v>565</v>
      </c>
      <c r="P11" t="s">
        <v>566</v>
      </c>
      <c r="Q11" t="s">
        <v>567</v>
      </c>
      <c r="R11" t="s">
        <v>291</v>
      </c>
      <c r="S11" t="s">
        <v>568</v>
      </c>
      <c r="T11" t="s">
        <v>569</v>
      </c>
      <c r="U11" t="s">
        <v>570</v>
      </c>
      <c r="V11" t="s">
        <v>571</v>
      </c>
      <c r="W11" t="s">
        <v>572</v>
      </c>
      <c r="X11" t="s">
        <v>573</v>
      </c>
      <c r="Y11" t="s">
        <v>574</v>
      </c>
      <c r="Z11" t="s">
        <v>575</v>
      </c>
      <c r="AA11" t="s">
        <v>576</v>
      </c>
      <c r="AB11" t="s">
        <v>567</v>
      </c>
      <c r="AC11" s="1">
        <v>-1182</v>
      </c>
      <c r="AD11" t="s">
        <v>577</v>
      </c>
      <c r="AE11" t="s">
        <v>578</v>
      </c>
      <c r="AF11" t="s">
        <v>579</v>
      </c>
      <c r="AG11" t="s">
        <v>580</v>
      </c>
      <c r="AH11" t="s">
        <v>581</v>
      </c>
      <c r="AI11" t="s">
        <v>582</v>
      </c>
      <c r="AJ11" t="s">
        <v>583</v>
      </c>
      <c r="AK11" t="s">
        <v>584</v>
      </c>
      <c r="AL11" s="1">
        <v>-2005</v>
      </c>
      <c r="AM11" s="1">
        <v>-1472</v>
      </c>
      <c r="AN11" s="1">
        <v>-1458</v>
      </c>
      <c r="AO11" s="1">
        <v>-1028</v>
      </c>
      <c r="AP11" t="s">
        <v>585</v>
      </c>
      <c r="AQ11" t="s">
        <v>586</v>
      </c>
      <c r="AR11" t="s">
        <v>587</v>
      </c>
      <c r="AS11" t="s">
        <v>588</v>
      </c>
      <c r="AT11" t="s">
        <v>588</v>
      </c>
      <c r="AU11" t="s">
        <v>589</v>
      </c>
      <c r="AV11" t="s">
        <v>590</v>
      </c>
      <c r="AW11" t="s">
        <v>591</v>
      </c>
      <c r="AX11" t="s">
        <v>592</v>
      </c>
      <c r="AY11" t="s">
        <v>593</v>
      </c>
      <c r="AZ11" t="s">
        <v>594</v>
      </c>
      <c r="BA11" t="s">
        <v>595</v>
      </c>
      <c r="BB11" t="s">
        <v>596</v>
      </c>
      <c r="BC11" t="s">
        <v>597</v>
      </c>
    </row>
    <row r="13" spans="1:55" x14ac:dyDescent="0.25">
      <c r="A13" t="s">
        <v>214</v>
      </c>
      <c r="B13">
        <v>690</v>
      </c>
      <c r="C13">
        <v>690</v>
      </c>
      <c r="D13">
        <v>690</v>
      </c>
      <c r="E13">
        <v>1.046</v>
      </c>
      <c r="F13">
        <v>1.046</v>
      </c>
      <c r="G13">
        <v>1.046</v>
      </c>
      <c r="H13">
        <v>554</v>
      </c>
      <c r="I13">
        <v>554</v>
      </c>
      <c r="J13">
        <v>554</v>
      </c>
      <c r="K13">
        <v>723</v>
      </c>
      <c r="L13">
        <v>723</v>
      </c>
      <c r="M13">
        <v>723</v>
      </c>
      <c r="N13">
        <v>475</v>
      </c>
      <c r="O13">
        <v>475</v>
      </c>
      <c r="P13">
        <v>475</v>
      </c>
      <c r="Q13">
        <v>640</v>
      </c>
      <c r="R13">
        <v>640</v>
      </c>
      <c r="S13">
        <v>640</v>
      </c>
      <c r="T13">
        <v>932</v>
      </c>
      <c r="U13">
        <v>932</v>
      </c>
      <c r="V13">
        <v>932</v>
      </c>
      <c r="W13">
        <v>646</v>
      </c>
      <c r="X13">
        <v>646</v>
      </c>
      <c r="Y13">
        <v>646</v>
      </c>
      <c r="Z13">
        <v>475</v>
      </c>
      <c r="AA13">
        <v>475</v>
      </c>
      <c r="AB13">
        <v>475</v>
      </c>
      <c r="AC13">
        <v>243</v>
      </c>
      <c r="AD13">
        <v>243</v>
      </c>
      <c r="AE13">
        <v>243</v>
      </c>
      <c r="AF13">
        <v>618</v>
      </c>
      <c r="AG13">
        <v>618</v>
      </c>
      <c r="AH13">
        <v>618</v>
      </c>
      <c r="AI13">
        <v>670</v>
      </c>
      <c r="AJ13">
        <v>670</v>
      </c>
      <c r="AK13">
        <v>670</v>
      </c>
      <c r="AL13">
        <v>117</v>
      </c>
      <c r="AM13">
        <v>117</v>
      </c>
      <c r="AN13">
        <v>117</v>
      </c>
      <c r="AO13">
        <v>373</v>
      </c>
      <c r="AP13">
        <v>373</v>
      </c>
      <c r="AQ13">
        <v>373</v>
      </c>
      <c r="AR13">
        <v>1.046</v>
      </c>
      <c r="AS13">
        <v>1.046</v>
      </c>
      <c r="AT13">
        <v>1.046</v>
      </c>
      <c r="AU13">
        <v>594</v>
      </c>
      <c r="AV13">
        <v>594</v>
      </c>
      <c r="AW13">
        <v>594</v>
      </c>
      <c r="AX13">
        <v>980</v>
      </c>
      <c r="AY13">
        <v>980</v>
      </c>
      <c r="AZ13">
        <v>980</v>
      </c>
      <c r="BA13">
        <v>861</v>
      </c>
      <c r="BB13">
        <v>861</v>
      </c>
      <c r="BC13">
        <v>861</v>
      </c>
    </row>
  </sheetData>
  <mergeCells count="18">
    <mergeCell ref="BA1:BC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A6" workbookViewId="0">
      <selection activeCell="E19" sqref="A1:E19"/>
    </sheetView>
  </sheetViews>
  <sheetFormatPr baseColWidth="10" defaultRowHeight="15" x14ac:dyDescent="0.25"/>
  <sheetData>
    <row r="1" spans="1:10" x14ac:dyDescent="0.25">
      <c r="A1" s="3"/>
      <c r="B1" s="6" t="s">
        <v>1</v>
      </c>
      <c r="C1" s="6" t="s">
        <v>215</v>
      </c>
      <c r="D1" s="6" t="s">
        <v>216</v>
      </c>
      <c r="E1" s="6" t="s">
        <v>627</v>
      </c>
    </row>
    <row r="2" spans="1:10" x14ac:dyDescent="0.25">
      <c r="A2" s="12" t="s">
        <v>628</v>
      </c>
      <c r="B2" s="5" t="str">
        <f>+"0,288***"</f>
        <v>0,288***</v>
      </c>
      <c r="C2" s="5" t="str">
        <f>+"0,227***"</f>
        <v>0,227***</v>
      </c>
      <c r="D2" s="5" t="str">
        <f>+"0,166**"</f>
        <v>0,166**</v>
      </c>
      <c r="E2" s="5">
        <v>15573</v>
      </c>
    </row>
    <row r="3" spans="1:10" x14ac:dyDescent="0.25">
      <c r="A3" s="11"/>
      <c r="B3" s="3" t="str">
        <f>+"(0,0847)"</f>
        <v>(0,0847)</v>
      </c>
      <c r="C3" s="3" t="str">
        <f>+"(0,0710)"</f>
        <v>(0,0710)</v>
      </c>
      <c r="D3" s="3" t="str">
        <f>+"(0,0752)"</f>
        <v>(0,0752)</v>
      </c>
      <c r="E3" s="3"/>
    </row>
    <row r="4" spans="1:10" x14ac:dyDescent="0.25">
      <c r="A4" s="12" t="s">
        <v>617</v>
      </c>
      <c r="B4" s="5" t="s">
        <v>3</v>
      </c>
      <c r="C4" s="5" t="s">
        <v>4</v>
      </c>
      <c r="D4" s="5" t="s">
        <v>5</v>
      </c>
      <c r="E4" s="5">
        <v>12842</v>
      </c>
    </row>
    <row r="5" spans="1:10" x14ac:dyDescent="0.25">
      <c r="A5" s="11"/>
      <c r="B5" s="3" t="s">
        <v>6</v>
      </c>
      <c r="C5" s="3" t="s">
        <v>7</v>
      </c>
      <c r="D5" s="3" t="s">
        <v>8</v>
      </c>
      <c r="E5" s="3"/>
    </row>
    <row r="6" spans="1:10" x14ac:dyDescent="0.25">
      <c r="A6" s="12" t="s">
        <v>618</v>
      </c>
      <c r="B6" s="5" t="s">
        <v>114</v>
      </c>
      <c r="C6" s="5" t="s">
        <v>115</v>
      </c>
      <c r="D6" s="5" t="s">
        <v>116</v>
      </c>
      <c r="E6" s="5">
        <v>1710</v>
      </c>
    </row>
    <row r="7" spans="1:10" x14ac:dyDescent="0.25">
      <c r="A7" s="11"/>
      <c r="B7" s="3" t="str">
        <f>+"(3.295)"</f>
        <v>(3.295)</v>
      </c>
      <c r="C7" s="3" t="str">
        <f>+"(5.014)"</f>
        <v>(5.014)</v>
      </c>
      <c r="D7" s="3" t="str">
        <f>+"(6.548)"</f>
        <v>(6.548)</v>
      </c>
      <c r="E7" s="3"/>
    </row>
    <row r="8" spans="1:10" x14ac:dyDescent="0.25">
      <c r="A8" s="12" t="s">
        <v>619</v>
      </c>
      <c r="B8" s="5" t="s">
        <v>118</v>
      </c>
      <c r="C8" s="5" t="s">
        <v>119</v>
      </c>
      <c r="D8" s="5" t="s">
        <v>120</v>
      </c>
      <c r="E8" s="5">
        <v>8834</v>
      </c>
      <c r="H8" s="1"/>
      <c r="I8" s="1"/>
      <c r="J8" s="1"/>
    </row>
    <row r="9" spans="1:10" x14ac:dyDescent="0.25">
      <c r="A9" s="11"/>
      <c r="B9" s="3" t="s">
        <v>121</v>
      </c>
      <c r="C9" s="3" t="s">
        <v>122</v>
      </c>
      <c r="D9" s="3" t="s">
        <v>123</v>
      </c>
      <c r="E9" s="3"/>
    </row>
    <row r="10" spans="1:10" x14ac:dyDescent="0.25">
      <c r="A10" s="12" t="s">
        <v>620</v>
      </c>
      <c r="B10" s="5" t="s">
        <v>125</v>
      </c>
      <c r="C10" s="5" t="s">
        <v>126</v>
      </c>
      <c r="D10" s="5" t="s">
        <v>127</v>
      </c>
      <c r="E10" s="5">
        <v>2593</v>
      </c>
    </row>
    <row r="11" spans="1:10" x14ac:dyDescent="0.25">
      <c r="A11" s="11"/>
      <c r="B11" s="3" t="s">
        <v>128</v>
      </c>
      <c r="C11" s="3" t="s">
        <v>129</v>
      </c>
      <c r="D11" s="3" t="s">
        <v>130</v>
      </c>
      <c r="E11" s="3"/>
    </row>
    <row r="12" spans="1:10" x14ac:dyDescent="0.25">
      <c r="A12" s="12" t="s">
        <v>621</v>
      </c>
      <c r="B12" s="5" t="s">
        <v>132</v>
      </c>
      <c r="C12" s="5" t="s">
        <v>133</v>
      </c>
      <c r="D12" s="5" t="s">
        <v>134</v>
      </c>
      <c r="E12" s="5">
        <v>14394</v>
      </c>
    </row>
    <row r="13" spans="1:10" x14ac:dyDescent="0.25">
      <c r="A13" s="11"/>
      <c r="B13" s="3" t="s">
        <v>135</v>
      </c>
      <c r="C13" s="3" t="s">
        <v>136</v>
      </c>
      <c r="D13" s="3" t="s">
        <v>137</v>
      </c>
      <c r="E13" s="3"/>
    </row>
    <row r="14" spans="1:10" x14ac:dyDescent="0.25">
      <c r="A14" s="12" t="s">
        <v>622</v>
      </c>
      <c r="B14" s="5" t="s">
        <v>139</v>
      </c>
      <c r="C14" s="5" t="s">
        <v>140</v>
      </c>
      <c r="D14" s="5" t="s">
        <v>141</v>
      </c>
      <c r="E14" s="5">
        <v>6155</v>
      </c>
    </row>
    <row r="15" spans="1:10" x14ac:dyDescent="0.25">
      <c r="A15" s="11"/>
      <c r="B15" s="3" t="s">
        <v>142</v>
      </c>
      <c r="C15" s="3" t="s">
        <v>143</v>
      </c>
      <c r="D15" s="3" t="s">
        <v>144</v>
      </c>
      <c r="E15" s="3"/>
    </row>
    <row r="16" spans="1:10" x14ac:dyDescent="0.25">
      <c r="A16" s="12" t="s">
        <v>623</v>
      </c>
      <c r="B16" s="5" t="s">
        <v>146</v>
      </c>
      <c r="C16" s="5" t="s">
        <v>147</v>
      </c>
      <c r="D16" s="5" t="s">
        <v>148</v>
      </c>
      <c r="E16" s="5">
        <v>2176</v>
      </c>
    </row>
    <row r="17" spans="1:5" x14ac:dyDescent="0.25">
      <c r="A17" s="11"/>
      <c r="B17" s="3" t="str">
        <f>+"(1.361)"</f>
        <v>(1.361)</v>
      </c>
      <c r="C17" s="3" t="str">
        <f>+"(2.510)"</f>
        <v>(2.510)</v>
      </c>
      <c r="D17" s="3" t="str">
        <f>+"(3.524)"</f>
        <v>(3.524)</v>
      </c>
      <c r="E17" s="3"/>
    </row>
    <row r="18" spans="1:5" x14ac:dyDescent="0.25">
      <c r="A18" s="10" t="s">
        <v>625</v>
      </c>
      <c r="B18" s="4" t="s">
        <v>154</v>
      </c>
      <c r="C18" s="4" t="s">
        <v>155</v>
      </c>
      <c r="D18" s="4" t="s">
        <v>156</v>
      </c>
      <c r="E18" s="4">
        <v>130</v>
      </c>
    </row>
    <row r="19" spans="1:5" x14ac:dyDescent="0.25">
      <c r="A19" s="11"/>
      <c r="B19" s="3" t="s">
        <v>157</v>
      </c>
      <c r="C19" s="3" t="s">
        <v>158</v>
      </c>
      <c r="D19" s="3" t="s">
        <v>159</v>
      </c>
      <c r="E19" s="3"/>
    </row>
  </sheetData>
  <mergeCells count="9">
    <mergeCell ref="A2:A3"/>
    <mergeCell ref="A18:A19"/>
    <mergeCell ref="A4:A5"/>
    <mergeCell ref="A6:A7"/>
    <mergeCell ref="A8:A9"/>
    <mergeCell ref="A10:A11"/>
    <mergeCell ref="A12:A13"/>
    <mergeCell ref="A14:A15"/>
    <mergeCell ref="A16:A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D37" sqref="A1:D37"/>
    </sheetView>
  </sheetViews>
  <sheetFormatPr baseColWidth="10" defaultRowHeight="15" x14ac:dyDescent="0.25"/>
  <cols>
    <col min="2" max="4" width="8.7109375" customWidth="1"/>
  </cols>
  <sheetData>
    <row r="1" spans="1:4" x14ac:dyDescent="0.25">
      <c r="A1" s="8"/>
      <c r="B1" s="6" t="s">
        <v>1</v>
      </c>
      <c r="C1" s="6" t="s">
        <v>215</v>
      </c>
      <c r="D1" s="6" t="s">
        <v>216</v>
      </c>
    </row>
    <row r="2" spans="1:4" ht="13.5" customHeight="1" x14ac:dyDescent="0.25">
      <c r="A2" s="15" t="s">
        <v>598</v>
      </c>
      <c r="B2" s="4" t="s">
        <v>218</v>
      </c>
      <c r="C2" s="4" t="s">
        <v>219</v>
      </c>
      <c r="D2" s="4" t="s">
        <v>220</v>
      </c>
    </row>
    <row r="3" spans="1:4" ht="13.5" customHeight="1" x14ac:dyDescent="0.25">
      <c r="A3" s="14"/>
      <c r="B3" s="3" t="str">
        <f>+"(1.003)"</f>
        <v>(1.003)</v>
      </c>
      <c r="C3" s="3" t="s">
        <v>271</v>
      </c>
      <c r="D3" s="3" t="str">
        <f>+"(1.153)"</f>
        <v>(1.153)</v>
      </c>
    </row>
    <row r="4" spans="1:4" ht="13.5" customHeight="1" x14ac:dyDescent="0.25">
      <c r="A4" s="13" t="s">
        <v>600</v>
      </c>
      <c r="B4" s="7" t="s">
        <v>224</v>
      </c>
      <c r="C4" s="7" t="s">
        <v>225</v>
      </c>
      <c r="D4" s="7" t="s">
        <v>226</v>
      </c>
    </row>
    <row r="5" spans="1:4" ht="13.5" customHeight="1" x14ac:dyDescent="0.25">
      <c r="A5" s="14"/>
      <c r="B5" s="3" t="s">
        <v>274</v>
      </c>
      <c r="C5" s="3" t="s">
        <v>275</v>
      </c>
      <c r="D5" s="3" t="s">
        <v>276</v>
      </c>
    </row>
    <row r="6" spans="1:4" ht="13.5" customHeight="1" x14ac:dyDescent="0.25">
      <c r="A6" s="13" t="s">
        <v>602</v>
      </c>
      <c r="B6" s="7" t="s">
        <v>230</v>
      </c>
      <c r="C6" s="7" t="s">
        <v>231</v>
      </c>
      <c r="D6" s="7" t="s">
        <v>232</v>
      </c>
    </row>
    <row r="7" spans="1:4" ht="13.5" customHeight="1" x14ac:dyDescent="0.25">
      <c r="A7" s="14"/>
      <c r="B7" s="3" t="s">
        <v>280</v>
      </c>
      <c r="C7" s="3" t="s">
        <v>281</v>
      </c>
      <c r="D7" s="3" t="s">
        <v>128</v>
      </c>
    </row>
    <row r="8" spans="1:4" ht="13.5" customHeight="1" x14ac:dyDescent="0.25">
      <c r="A8" s="13" t="s">
        <v>604</v>
      </c>
      <c r="B8" s="7" t="s">
        <v>236</v>
      </c>
      <c r="C8" s="7" t="s">
        <v>237</v>
      </c>
      <c r="D8" s="7" t="s">
        <v>238</v>
      </c>
    </row>
    <row r="9" spans="1:4" ht="13.5" customHeight="1" x14ac:dyDescent="0.25">
      <c r="A9" s="14"/>
      <c r="B9" s="3" t="s">
        <v>283</v>
      </c>
      <c r="C9" s="3" t="s">
        <v>284</v>
      </c>
      <c r="D9" s="3" t="s">
        <v>285</v>
      </c>
    </row>
    <row r="10" spans="1:4" ht="13.5" customHeight="1" x14ac:dyDescent="0.25">
      <c r="A10" s="13" t="s">
        <v>606</v>
      </c>
      <c r="B10" s="7" t="s">
        <v>242</v>
      </c>
      <c r="C10" s="7" t="s">
        <v>120</v>
      </c>
      <c r="D10" s="7" t="s">
        <v>243</v>
      </c>
    </row>
    <row r="11" spans="1:4" ht="13.5" customHeight="1" x14ac:dyDescent="0.25">
      <c r="A11" s="14"/>
      <c r="B11" s="3" t="s">
        <v>289</v>
      </c>
      <c r="C11" s="3" t="s">
        <v>290</v>
      </c>
      <c r="D11" s="3" t="s">
        <v>283</v>
      </c>
    </row>
    <row r="12" spans="1:4" ht="13.5" customHeight="1" x14ac:dyDescent="0.25">
      <c r="A12" s="13" t="s">
        <v>608</v>
      </c>
      <c r="B12" s="7" t="s">
        <v>247</v>
      </c>
      <c r="C12" s="7" t="s">
        <v>248</v>
      </c>
      <c r="D12" s="7" t="s">
        <v>249</v>
      </c>
    </row>
    <row r="13" spans="1:4" ht="13.5" customHeight="1" x14ac:dyDescent="0.25">
      <c r="A13" s="14"/>
      <c r="B13" s="3" t="s">
        <v>293</v>
      </c>
      <c r="C13" s="3" t="s">
        <v>294</v>
      </c>
      <c r="D13" s="3" t="s">
        <v>295</v>
      </c>
    </row>
    <row r="14" spans="1:4" ht="13.5" customHeight="1" x14ac:dyDescent="0.25">
      <c r="A14" s="13" t="s">
        <v>610</v>
      </c>
      <c r="B14" s="7" t="s">
        <v>253</v>
      </c>
      <c r="C14" s="7" t="s">
        <v>254</v>
      </c>
      <c r="D14" s="7" t="s">
        <v>255</v>
      </c>
    </row>
    <row r="15" spans="1:4" ht="13.5" customHeight="1" x14ac:dyDescent="0.25">
      <c r="A15" s="14"/>
      <c r="B15" s="3" t="s">
        <v>299</v>
      </c>
      <c r="C15" s="3" t="s">
        <v>300</v>
      </c>
      <c r="D15" s="3" t="s">
        <v>301</v>
      </c>
    </row>
    <row r="16" spans="1:4" ht="13.5" customHeight="1" x14ac:dyDescent="0.25">
      <c r="A16" s="13" t="s">
        <v>612</v>
      </c>
      <c r="B16" s="7" t="s">
        <v>259</v>
      </c>
      <c r="C16" s="7" t="s">
        <v>260</v>
      </c>
      <c r="D16" s="7" t="s">
        <v>261</v>
      </c>
    </row>
    <row r="17" spans="1:4" ht="13.5" customHeight="1" x14ac:dyDescent="0.25">
      <c r="A17" s="14"/>
      <c r="B17" s="3" t="s">
        <v>304</v>
      </c>
      <c r="C17" s="3" t="s">
        <v>305</v>
      </c>
      <c r="D17" s="3" t="s">
        <v>306</v>
      </c>
    </row>
    <row r="18" spans="1:4" ht="13.5" customHeight="1" x14ac:dyDescent="0.25">
      <c r="A18" s="13" t="s">
        <v>614</v>
      </c>
      <c r="B18" s="7" t="s">
        <v>265</v>
      </c>
      <c r="C18" s="7" t="s">
        <v>266</v>
      </c>
      <c r="D18" s="7" t="s">
        <v>267</v>
      </c>
    </row>
    <row r="19" spans="1:4" ht="13.5" customHeight="1" x14ac:dyDescent="0.25">
      <c r="A19" s="14"/>
      <c r="B19" s="3" t="s">
        <v>309</v>
      </c>
      <c r="C19" s="3" t="s">
        <v>310</v>
      </c>
      <c r="D19" s="3" t="s">
        <v>311</v>
      </c>
    </row>
    <row r="20" spans="1:4" ht="13.5" customHeight="1" x14ac:dyDescent="0.25">
      <c r="A20" s="13" t="s">
        <v>599</v>
      </c>
      <c r="B20" s="4" t="s">
        <v>221</v>
      </c>
      <c r="C20" s="4" t="s">
        <v>222</v>
      </c>
      <c r="D20" s="4" t="s">
        <v>223</v>
      </c>
    </row>
    <row r="21" spans="1:4" ht="13.5" customHeight="1" x14ac:dyDescent="0.25">
      <c r="A21" s="14"/>
      <c r="B21" s="3" t="s">
        <v>272</v>
      </c>
      <c r="C21" s="3" t="s">
        <v>273</v>
      </c>
      <c r="D21" s="3" t="s">
        <v>194</v>
      </c>
    </row>
    <row r="22" spans="1:4" ht="13.5" customHeight="1" x14ac:dyDescent="0.25">
      <c r="A22" s="13" t="s">
        <v>601</v>
      </c>
      <c r="B22" s="2" t="s">
        <v>227</v>
      </c>
      <c r="C22" s="2" t="s">
        <v>228</v>
      </c>
      <c r="D22" s="2" t="s">
        <v>229</v>
      </c>
    </row>
    <row r="23" spans="1:4" ht="13.5" customHeight="1" x14ac:dyDescent="0.25">
      <c r="A23" s="14"/>
      <c r="B23" s="3" t="s">
        <v>277</v>
      </c>
      <c r="C23" s="3" t="s">
        <v>278</v>
      </c>
      <c r="D23" s="3" t="s">
        <v>279</v>
      </c>
    </row>
    <row r="24" spans="1:4" ht="13.5" customHeight="1" x14ac:dyDescent="0.25">
      <c r="A24" s="13" t="s">
        <v>603</v>
      </c>
      <c r="B24" s="2" t="s">
        <v>233</v>
      </c>
      <c r="C24" s="2" t="s">
        <v>234</v>
      </c>
      <c r="D24" s="2" t="s">
        <v>235</v>
      </c>
    </row>
    <row r="25" spans="1:4" ht="13.5" customHeight="1" x14ac:dyDescent="0.25">
      <c r="A25" s="14"/>
      <c r="B25" s="3" t="s">
        <v>282</v>
      </c>
      <c r="C25" s="3" t="s">
        <v>274</v>
      </c>
      <c r="D25" s="3" t="s">
        <v>199</v>
      </c>
    </row>
    <row r="26" spans="1:4" ht="13.5" customHeight="1" x14ac:dyDescent="0.25">
      <c r="A26" s="13" t="s">
        <v>605</v>
      </c>
      <c r="B26" s="2" t="s">
        <v>239</v>
      </c>
      <c r="C26" s="2" t="s">
        <v>240</v>
      </c>
      <c r="D26" s="2" t="s">
        <v>241</v>
      </c>
    </row>
    <row r="27" spans="1:4" ht="13.5" customHeight="1" x14ac:dyDescent="0.25">
      <c r="A27" s="14"/>
      <c r="B27" s="3" t="s">
        <v>286</v>
      </c>
      <c r="C27" s="3" t="s">
        <v>287</v>
      </c>
      <c r="D27" s="3" t="s">
        <v>288</v>
      </c>
    </row>
    <row r="28" spans="1:4" ht="13.5" customHeight="1" x14ac:dyDescent="0.25">
      <c r="A28" s="13" t="s">
        <v>607</v>
      </c>
      <c r="B28" s="2" t="s">
        <v>244</v>
      </c>
      <c r="C28" s="2" t="s">
        <v>245</v>
      </c>
      <c r="D28" s="2" t="s">
        <v>246</v>
      </c>
    </row>
    <row r="29" spans="1:4" ht="13.5" customHeight="1" x14ac:dyDescent="0.25">
      <c r="A29" s="14"/>
      <c r="B29" s="3" t="s">
        <v>291</v>
      </c>
      <c r="C29" s="3" t="s">
        <v>282</v>
      </c>
      <c r="D29" s="3" t="s">
        <v>292</v>
      </c>
    </row>
    <row r="30" spans="1:4" ht="13.5" customHeight="1" x14ac:dyDescent="0.25">
      <c r="A30" s="13" t="s">
        <v>609</v>
      </c>
      <c r="B30" s="2" t="s">
        <v>250</v>
      </c>
      <c r="C30" s="2" t="s">
        <v>251</v>
      </c>
      <c r="D30" s="2" t="s">
        <v>252</v>
      </c>
    </row>
    <row r="31" spans="1:4" ht="13.5" customHeight="1" x14ac:dyDescent="0.25">
      <c r="A31" s="14"/>
      <c r="B31" s="3" t="s">
        <v>296</v>
      </c>
      <c r="C31" s="3" t="s">
        <v>297</v>
      </c>
      <c r="D31" s="3" t="s">
        <v>298</v>
      </c>
    </row>
    <row r="32" spans="1:4" ht="13.5" customHeight="1" x14ac:dyDescent="0.25">
      <c r="A32" s="13" t="s">
        <v>611</v>
      </c>
      <c r="B32" s="2" t="s">
        <v>256</v>
      </c>
      <c r="C32" s="2" t="s">
        <v>257</v>
      </c>
      <c r="D32" s="2" t="s">
        <v>258</v>
      </c>
    </row>
    <row r="33" spans="1:4" ht="13.5" customHeight="1" x14ac:dyDescent="0.25">
      <c r="A33" s="14"/>
      <c r="B33" s="3" t="s">
        <v>302</v>
      </c>
      <c r="C33" s="3" t="s">
        <v>289</v>
      </c>
      <c r="D33" s="3" t="s">
        <v>303</v>
      </c>
    </row>
    <row r="34" spans="1:4" ht="13.5" customHeight="1" x14ac:dyDescent="0.25">
      <c r="A34" s="13" t="s">
        <v>626</v>
      </c>
      <c r="B34" s="2" t="s">
        <v>262</v>
      </c>
      <c r="C34" s="2" t="s">
        <v>263</v>
      </c>
      <c r="D34" s="2" t="s">
        <v>264</v>
      </c>
    </row>
    <row r="35" spans="1:4" ht="13.5" customHeight="1" x14ac:dyDescent="0.25">
      <c r="A35" s="14"/>
      <c r="B35" s="3" t="s">
        <v>307</v>
      </c>
      <c r="C35" s="3" t="s">
        <v>285</v>
      </c>
      <c r="D35" s="3" t="s">
        <v>308</v>
      </c>
    </row>
    <row r="36" spans="1:4" ht="13.5" customHeight="1" x14ac:dyDescent="0.25">
      <c r="A36" s="13" t="s">
        <v>615</v>
      </c>
      <c r="B36" s="2" t="s">
        <v>268</v>
      </c>
      <c r="C36" s="2" t="s">
        <v>269</v>
      </c>
      <c r="D36" s="2" t="s">
        <v>270</v>
      </c>
    </row>
    <row r="37" spans="1:4" ht="13.5" customHeight="1" x14ac:dyDescent="0.25">
      <c r="A37" s="14"/>
      <c r="B37" s="3" t="s">
        <v>312</v>
      </c>
      <c r="C37" s="3" t="s">
        <v>294</v>
      </c>
      <c r="D37" s="3" t="s">
        <v>313</v>
      </c>
    </row>
  </sheetData>
  <mergeCells count="18">
    <mergeCell ref="A30:A31"/>
    <mergeCell ref="A32:A33"/>
    <mergeCell ref="A2:A3"/>
    <mergeCell ref="A4:A5"/>
    <mergeCell ref="A6:A7"/>
    <mergeCell ref="A8:A9"/>
    <mergeCell ref="A10:A11"/>
    <mergeCell ref="A12:A13"/>
    <mergeCell ref="A20:A21"/>
    <mergeCell ref="A22:A23"/>
    <mergeCell ref="A24:A25"/>
    <mergeCell ref="A26:A27"/>
    <mergeCell ref="A28:A29"/>
    <mergeCell ref="A34:A35"/>
    <mergeCell ref="A36:A37"/>
    <mergeCell ref="A14:A15"/>
    <mergeCell ref="A16:A17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por_red</vt:lpstr>
      <vt:lpstr>por_pais</vt:lpstr>
      <vt:lpstr>por_red (2)</vt:lpstr>
      <vt:lpstr>por_pais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Template</cp:lastModifiedBy>
  <dcterms:created xsi:type="dcterms:W3CDTF">2023-10-27T18:20:25Z</dcterms:created>
  <dcterms:modified xsi:type="dcterms:W3CDTF">2023-11-22T19:27:42Z</dcterms:modified>
</cp:coreProperties>
</file>