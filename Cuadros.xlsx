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caravaggio_mecon\Desktop\Doctorado\felicidad_ivqreg2\"/>
    </mc:Choice>
  </mc:AlternateContent>
  <bookViews>
    <workbookView xWindow="0" yWindow="0" windowWidth="24000" windowHeight="7830"/>
  </bookViews>
  <sheets>
    <sheet name="Hoja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4" i="1" l="1"/>
  <c r="C34" i="1"/>
  <c r="C33" i="1"/>
  <c r="H34" i="1"/>
  <c r="B34" i="1"/>
  <c r="K34" i="1"/>
  <c r="K33" i="1"/>
  <c r="E34" i="1"/>
  <c r="E33" i="1"/>
  <c r="J34" i="1"/>
  <c r="D34" i="1"/>
  <c r="M34" i="1"/>
  <c r="G34" i="1"/>
  <c r="G33" i="1"/>
  <c r="L34" i="1"/>
  <c r="L33" i="1"/>
  <c r="F34" i="1"/>
  <c r="F33" i="1"/>
  <c r="L18" i="1"/>
  <c r="M19" i="1"/>
  <c r="M18" i="1"/>
  <c r="G19" i="1"/>
  <c r="G18" i="1"/>
  <c r="L19" i="1"/>
  <c r="F19" i="1"/>
  <c r="F18" i="1"/>
  <c r="K19" i="1"/>
  <c r="K18" i="1"/>
  <c r="E19" i="1"/>
  <c r="E18" i="1"/>
  <c r="J19" i="1"/>
  <c r="D19" i="1"/>
  <c r="I19" i="1"/>
  <c r="H19" i="1"/>
  <c r="C19" i="1"/>
  <c r="C18" i="1"/>
  <c r="B19" i="1"/>
  <c r="G5" i="1"/>
  <c r="G4" i="1"/>
  <c r="F5" i="1"/>
  <c r="F4" i="1"/>
  <c r="E5" i="1"/>
  <c r="E4" i="1"/>
  <c r="D5" i="1"/>
  <c r="C5" i="1"/>
  <c r="C4" i="1"/>
  <c r="B5" i="1"/>
</calcChain>
</file>

<file path=xl/sharedStrings.xml><?xml version="1.0" encoding="utf-8"?>
<sst xmlns="http://schemas.openxmlformats.org/spreadsheetml/2006/main" count="115" uniqueCount="70">
  <si>
    <t>OLS</t>
  </si>
  <si>
    <t>IV</t>
  </si>
  <si>
    <t>SNU</t>
  </si>
  <si>
    <t>Edad</t>
  </si>
  <si>
    <t>Constante</t>
  </si>
  <si>
    <t>Kleibergen-Paap Wald rk F</t>
  </si>
  <si>
    <t>Observaciones</t>
  </si>
  <si>
    <t>0,188***</t>
  </si>
  <si>
    <t>3,049***</t>
  </si>
  <si>
    <t>379,09***</t>
  </si>
  <si>
    <t>3,284***</t>
  </si>
  <si>
    <t>0,147***</t>
  </si>
  <si>
    <t>3,129***</t>
  </si>
  <si>
    <t>3,855***</t>
  </si>
  <si>
    <t>630,72***</t>
  </si>
  <si>
    <t>3,455***</t>
  </si>
  <si>
    <t>975,66***</t>
  </si>
  <si>
    <t>3,554***</t>
  </si>
  <si>
    <t>Varones</t>
  </si>
  <si>
    <t>Mujeres</t>
  </si>
  <si>
    <t>0,210***</t>
  </si>
  <si>
    <t>3,002***</t>
  </si>
  <si>
    <t>3,426***</t>
  </si>
  <si>
    <t>153,30***</t>
  </si>
  <si>
    <t>0,171***</t>
  </si>
  <si>
    <t>3,089***</t>
  </si>
  <si>
    <t>231,54***</t>
  </si>
  <si>
    <t>3,180***</t>
  </si>
  <si>
    <t>0,161***</t>
  </si>
  <si>
    <t>0,134***</t>
  </si>
  <si>
    <t>286,38***</t>
  </si>
  <si>
    <t>3,740***</t>
  </si>
  <si>
    <t>382,83***</t>
  </si>
  <si>
    <t>3,951***</t>
  </si>
  <si>
    <t>3,422***</t>
  </si>
  <si>
    <t>3,486***</t>
  </si>
  <si>
    <t>408,87***</t>
  </si>
  <si>
    <t>3,539***</t>
  </si>
  <si>
    <t>567,10***</t>
  </si>
  <si>
    <t>3,572***</t>
  </si>
  <si>
    <t>3,461***</t>
  </si>
  <si>
    <t>3,449***</t>
  </si>
  <si>
    <t>594,07***</t>
  </si>
  <si>
    <t>3,641***</t>
  </si>
  <si>
    <t>272,64***</t>
  </si>
  <si>
    <t>3,410***</t>
  </si>
  <si>
    <t>0,179***</t>
  </si>
  <si>
    <t>3,104***</t>
  </si>
  <si>
    <t>142,73***</t>
  </si>
  <si>
    <t>4,504***</t>
  </si>
  <si>
    <t>379,69***</t>
  </si>
  <si>
    <t>3,648***</t>
  </si>
  <si>
    <t>0,182***</t>
  </si>
  <si>
    <t>3,081***</t>
  </si>
  <si>
    <t>0,176***</t>
  </si>
  <si>
    <t>3,041***</t>
  </si>
  <si>
    <t>92.49***</t>
  </si>
  <si>
    <t>3,849***</t>
  </si>
  <si>
    <t>186,01***</t>
  </si>
  <si>
    <t>3,273***</t>
  </si>
  <si>
    <t>Ciudad de &gt;100.000 habitantes</t>
  </si>
  <si>
    <t>Menos de 100.000 habitantes</t>
  </si>
  <si>
    <t>Errores estándar robustos</t>
  </si>
  <si>
    <t>*p&lt;0,1;**p&lt;0,05;***p&lt;0,01</t>
  </si>
  <si>
    <t xml:space="preserve">Nota: Se presenta la salida de los modelos de regresión lineal ordinaria y de variables instrumentales utilizando la calidad de la conexión a internet como instrumento, para la relación causal de interés entre el uso de redes sociales y el nivel de satisfacción con la vida discriminando entre la población masculina y femenina. Se observa un impacto mayor del uso de redes sociales en el nivel de satisfacción con la vida para las mujeres durante la pandemia. Esa diferencia no es significativa para los otros años. </t>
  </si>
  <si>
    <t xml:space="preserve">Nota: Se presenta la salida de los modelos de regresión lineal ordinaria y de variables instrumentales utilizando la calidad de la conexión a internet como instrumento, para la relación causal de interés entre el uso de redes sociales y el nivel de satisfacción con la vida, discriminando entre la población que vive en ciudades de más de 100.000 habitantes y la que no. Se observa un impacto mayor del uso de redes sociales en el nivel de satisfacción para los habitantes de las grandes ciudades. Para el año 2018 incluso el efecto se hace significativo. </t>
  </si>
  <si>
    <t xml:space="preserve">Nota: Se presenta la salida de los modelos de regresión lineal ordinaria y de variables instrumentales utilizando la calidad de la conexión a internet como instrumento, para la relación causal de interés entre el uso de redes sociales y el nivel de satisfacción con la vida. Al eliminarse el sesgo por endogeneidad aparece el efecto negativo típico del uso de redes. Se observa que durante la pandemina el efecto fue más marcado. El efecto no es significativo para el año 2018. </t>
  </si>
  <si>
    <r>
      <rPr>
        <b/>
        <sz val="11"/>
        <color theme="1"/>
        <rFont val="Calibri"/>
        <family val="2"/>
      </rPr>
      <t>Tabla 1.</t>
    </r>
    <r>
      <rPr>
        <sz val="11"/>
        <color theme="1"/>
        <rFont val="Calibri"/>
        <family val="2"/>
        <scheme val="minor"/>
      </rPr>
      <t xml:space="preserve"> Principales resultados</t>
    </r>
  </si>
  <si>
    <r>
      <rPr>
        <b/>
        <sz val="11"/>
        <color theme="1"/>
        <rFont val="Calibri"/>
        <family val="2"/>
      </rPr>
      <t xml:space="preserve">Tabla 2. </t>
    </r>
    <r>
      <rPr>
        <sz val="11"/>
        <color theme="1"/>
        <rFont val="Calibri"/>
        <family val="2"/>
        <scheme val="minor"/>
      </rPr>
      <t>Efectos heterogéneos por sexo</t>
    </r>
  </si>
  <si>
    <r>
      <rPr>
        <b/>
        <sz val="11"/>
        <color theme="1"/>
        <rFont val="Calibri"/>
        <family val="2"/>
      </rPr>
      <t>Tabla 3.</t>
    </r>
    <r>
      <rPr>
        <sz val="11"/>
        <color theme="1"/>
        <rFont val="Calibri"/>
        <family val="2"/>
        <scheme val="minor"/>
      </rPr>
      <t xml:space="preserve"> Efectos heterogéneos por tamaño de la ciudad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</si>
</sst>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2">
    <xf numFmtId="0" fontId="0" fillId="0" borderId="0" xfId="0"/>
    <xf numFmtId="0" fontId="0" fillId="2" borderId="1" xfId="0" applyFill="1" applyBorder="1" applyAlignment="1">
      <alignment horizontal="left"/>
    </xf>
    <xf numFmtId="0" fontId="0" fillId="2" borderId="0" xfId="0" applyFill="1"/>
    <xf numFmtId="0" fontId="0" fillId="2" borderId="0" xfId="0" applyFill="1" applyAlignment="1">
      <alignment horizontal="center"/>
    </xf>
    <xf numFmtId="0" fontId="0" fillId="2" borderId="1" xfId="0" applyFill="1" applyBorder="1"/>
    <xf numFmtId="0" fontId="0" fillId="2" borderId="1" xfId="0" applyFill="1" applyBorder="1" applyAlignment="1">
      <alignment horizontal="center"/>
    </xf>
    <xf numFmtId="0" fontId="0" fillId="2" borderId="0" xfId="0" applyFill="1" applyAlignment="1">
      <alignment horizontal="center"/>
    </xf>
    <xf numFmtId="3" fontId="0" fillId="2" borderId="0" xfId="0" applyNumberFormat="1" applyFill="1" applyAlignment="1">
      <alignment horizontal="center"/>
    </xf>
    <xf numFmtId="3" fontId="0" fillId="2" borderId="1" xfId="0" applyNumberFormat="1" applyFill="1" applyBorder="1" applyAlignment="1">
      <alignment horizontal="center"/>
    </xf>
    <xf numFmtId="0" fontId="0" fillId="2" borderId="0" xfId="0" applyFill="1" applyAlignment="1">
      <alignment horizontal="left" wrapText="1"/>
    </xf>
    <xf numFmtId="0" fontId="0" fillId="2" borderId="0" xfId="0" applyFill="1" applyAlignment="1">
      <alignment horizontal="left" wrapText="1"/>
    </xf>
    <xf numFmtId="0" fontId="0" fillId="2" borderId="1"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2"/>
  <sheetViews>
    <sheetView tabSelected="1" workbookViewId="0">
      <selection activeCell="N27" sqref="N27"/>
    </sheetView>
  </sheetViews>
  <sheetFormatPr baseColWidth="10" defaultRowHeight="15" x14ac:dyDescent="0.25"/>
  <cols>
    <col min="1" max="1" width="27" customWidth="1"/>
  </cols>
  <sheetData>
    <row r="1" spans="1:13" x14ac:dyDescent="0.25">
      <c r="A1" s="1" t="s">
        <v>67</v>
      </c>
      <c r="B1" s="1"/>
      <c r="C1" s="1"/>
      <c r="D1" s="1"/>
      <c r="E1" s="1"/>
      <c r="F1" s="1"/>
      <c r="G1" s="1"/>
      <c r="H1" s="2"/>
      <c r="I1" s="2"/>
      <c r="J1" s="2"/>
      <c r="K1" s="2"/>
      <c r="L1" s="2"/>
      <c r="M1" s="2"/>
    </row>
    <row r="2" spans="1:13" x14ac:dyDescent="0.25">
      <c r="A2" s="2"/>
      <c r="B2" s="3">
        <v>2018</v>
      </c>
      <c r="C2" s="3"/>
      <c r="D2" s="3">
        <v>2020</v>
      </c>
      <c r="E2" s="3"/>
      <c r="F2" s="3">
        <v>2023</v>
      </c>
      <c r="G2" s="3"/>
      <c r="H2" s="2"/>
      <c r="I2" s="2"/>
      <c r="J2" s="2"/>
      <c r="K2" s="2"/>
      <c r="L2" s="2"/>
      <c r="M2" s="2"/>
    </row>
    <row r="3" spans="1:13" x14ac:dyDescent="0.25">
      <c r="A3" s="4"/>
      <c r="B3" s="5" t="s">
        <v>0</v>
      </c>
      <c r="C3" s="5" t="s">
        <v>1</v>
      </c>
      <c r="D3" s="5" t="s">
        <v>0</v>
      </c>
      <c r="E3" s="5" t="s">
        <v>1</v>
      </c>
      <c r="F3" s="5" t="s">
        <v>0</v>
      </c>
      <c r="G3" s="5" t="s">
        <v>1</v>
      </c>
      <c r="H3" s="2"/>
      <c r="I3" s="2"/>
      <c r="J3" s="2"/>
      <c r="K3" s="2"/>
      <c r="L3" s="2"/>
      <c r="M3" s="2"/>
    </row>
    <row r="4" spans="1:13" x14ac:dyDescent="0.25">
      <c r="A4" s="2" t="s">
        <v>2</v>
      </c>
      <c r="B4" s="6" t="s">
        <v>7</v>
      </c>
      <c r="C4" s="6" t="str">
        <f>+"-0,015"</f>
        <v>-0,015</v>
      </c>
      <c r="D4" s="6" t="s">
        <v>11</v>
      </c>
      <c r="E4" s="6" t="str">
        <f>+"-0,464***"</f>
        <v>-0,464***</v>
      </c>
      <c r="F4" s="6" t="str">
        <f>+"-0,156***"</f>
        <v>-0,156***</v>
      </c>
      <c r="G4" s="6" t="str">
        <f>+"-0,253***"</f>
        <v>-0,253***</v>
      </c>
      <c r="H4" s="2"/>
      <c r="I4" s="2"/>
      <c r="J4" s="2"/>
      <c r="K4" s="2"/>
      <c r="L4" s="2"/>
      <c r="M4" s="2"/>
    </row>
    <row r="5" spans="1:13" x14ac:dyDescent="0.25">
      <c r="A5" s="2" t="s">
        <v>3</v>
      </c>
      <c r="B5" s="6" t="str">
        <f>+"-0,003***"</f>
        <v>-0,003***</v>
      </c>
      <c r="C5" s="6" t="str">
        <f>+"-0,005***"</f>
        <v>-0,005***</v>
      </c>
      <c r="D5" s="6" t="str">
        <f>+"-0,003***"</f>
        <v>-0,003***</v>
      </c>
      <c r="E5" s="6" t="str">
        <f>+"-0,009***"</f>
        <v>-0,009***</v>
      </c>
      <c r="F5" s="6" t="str">
        <f>+"-0,005***"</f>
        <v>-0,005***</v>
      </c>
      <c r="G5" s="6" t="str">
        <f>+"-0,006***"</f>
        <v>-0,006***</v>
      </c>
      <c r="H5" s="2"/>
      <c r="I5" s="2"/>
      <c r="J5" s="2"/>
      <c r="K5" s="2"/>
      <c r="L5" s="2"/>
      <c r="M5" s="2"/>
    </row>
    <row r="6" spans="1:13" x14ac:dyDescent="0.25">
      <c r="A6" s="2" t="s">
        <v>4</v>
      </c>
      <c r="B6" s="6" t="s">
        <v>8</v>
      </c>
      <c r="C6" s="6" t="s">
        <v>10</v>
      </c>
      <c r="D6" s="6" t="s">
        <v>12</v>
      </c>
      <c r="E6" s="6" t="s">
        <v>13</v>
      </c>
      <c r="F6" s="6" t="s">
        <v>15</v>
      </c>
      <c r="G6" s="6" t="s">
        <v>17</v>
      </c>
      <c r="H6" s="2"/>
      <c r="I6" s="2"/>
      <c r="J6" s="2"/>
      <c r="K6" s="2"/>
      <c r="L6" s="2"/>
      <c r="M6" s="2"/>
    </row>
    <row r="7" spans="1:13" x14ac:dyDescent="0.25">
      <c r="A7" s="2"/>
      <c r="B7" s="6"/>
      <c r="C7" s="6"/>
      <c r="D7" s="6"/>
      <c r="E7" s="6"/>
      <c r="F7" s="6"/>
      <c r="G7" s="6"/>
      <c r="H7" s="2"/>
      <c r="I7" s="2"/>
      <c r="J7" s="2"/>
      <c r="K7" s="2"/>
      <c r="L7" s="2"/>
      <c r="M7" s="2"/>
    </row>
    <row r="8" spans="1:13" x14ac:dyDescent="0.25">
      <c r="A8" s="2" t="s">
        <v>5</v>
      </c>
      <c r="B8" s="6"/>
      <c r="C8" s="6" t="s">
        <v>9</v>
      </c>
      <c r="D8" s="6"/>
      <c r="E8" s="6" t="s">
        <v>14</v>
      </c>
      <c r="F8" s="6"/>
      <c r="G8" s="6" t="s">
        <v>16</v>
      </c>
      <c r="H8" s="2"/>
      <c r="I8" s="2"/>
      <c r="J8" s="2"/>
      <c r="K8" s="2"/>
      <c r="L8" s="2"/>
      <c r="M8" s="2"/>
    </row>
    <row r="9" spans="1:13" x14ac:dyDescent="0.25">
      <c r="A9" s="4" t="s">
        <v>6</v>
      </c>
      <c r="B9" s="8">
        <v>20052</v>
      </c>
      <c r="C9" s="8">
        <v>17444</v>
      </c>
      <c r="D9" s="8">
        <v>19678</v>
      </c>
      <c r="E9" s="8">
        <v>17998</v>
      </c>
      <c r="F9" s="8">
        <v>18997</v>
      </c>
      <c r="G9" s="8">
        <v>17404</v>
      </c>
      <c r="H9" s="2"/>
      <c r="I9" s="2"/>
      <c r="J9" s="2"/>
      <c r="K9" s="2"/>
      <c r="L9" s="2"/>
      <c r="M9" s="2"/>
    </row>
    <row r="10" spans="1:13" x14ac:dyDescent="0.25">
      <c r="A10" s="2" t="s">
        <v>62</v>
      </c>
      <c r="B10" s="2"/>
      <c r="C10" s="2"/>
      <c r="D10" s="2"/>
      <c r="E10" s="2"/>
      <c r="F10" s="2"/>
      <c r="G10" s="2"/>
      <c r="H10" s="2"/>
      <c r="I10" s="2"/>
      <c r="J10" s="2"/>
      <c r="K10" s="2"/>
      <c r="L10" s="2"/>
      <c r="M10" s="2"/>
    </row>
    <row r="11" spans="1:13" x14ac:dyDescent="0.25">
      <c r="A11" s="2" t="s">
        <v>63</v>
      </c>
      <c r="B11" s="2"/>
      <c r="C11" s="2"/>
      <c r="D11" s="2"/>
      <c r="E11" s="2"/>
      <c r="F11" s="2"/>
      <c r="G11" s="2"/>
      <c r="H11" s="2"/>
      <c r="I11" s="2"/>
      <c r="J11" s="2"/>
      <c r="K11" s="2"/>
      <c r="L11" s="2"/>
      <c r="M11" s="2"/>
    </row>
    <row r="12" spans="1:13" ht="75" customHeight="1" x14ac:dyDescent="0.25">
      <c r="A12" s="9" t="s">
        <v>66</v>
      </c>
      <c r="B12" s="9"/>
      <c r="C12" s="9"/>
      <c r="D12" s="9"/>
      <c r="E12" s="9"/>
      <c r="F12" s="9"/>
      <c r="G12" s="9"/>
      <c r="H12" s="2"/>
      <c r="I12" s="2"/>
      <c r="J12" s="2"/>
      <c r="K12" s="2"/>
      <c r="L12" s="2"/>
      <c r="M12" s="2"/>
    </row>
    <row r="13" spans="1:13" ht="27.75" customHeight="1" x14ac:dyDescent="0.25">
      <c r="A13" s="10"/>
      <c r="B13" s="10"/>
      <c r="C13" s="10"/>
      <c r="D13" s="10"/>
      <c r="E13" s="10"/>
      <c r="F13" s="10"/>
      <c r="G13" s="10"/>
      <c r="H13" s="2"/>
      <c r="I13" s="2"/>
      <c r="J13" s="2"/>
      <c r="K13" s="2"/>
      <c r="L13" s="2"/>
      <c r="M13" s="2"/>
    </row>
    <row r="14" spans="1:13" x14ac:dyDescent="0.25">
      <c r="A14" s="1" t="s">
        <v>68</v>
      </c>
      <c r="B14" s="1"/>
      <c r="C14" s="1"/>
      <c r="D14" s="1"/>
      <c r="E14" s="1"/>
      <c r="F14" s="1"/>
      <c r="G14" s="1"/>
      <c r="H14" s="1"/>
      <c r="I14" s="1"/>
      <c r="J14" s="1"/>
      <c r="K14" s="1"/>
      <c r="L14" s="1"/>
      <c r="M14" s="1"/>
    </row>
    <row r="15" spans="1:13" x14ac:dyDescent="0.25">
      <c r="A15" s="2"/>
      <c r="B15" s="3" t="s">
        <v>18</v>
      </c>
      <c r="C15" s="3"/>
      <c r="D15" s="3"/>
      <c r="E15" s="3"/>
      <c r="F15" s="3"/>
      <c r="G15" s="3"/>
      <c r="H15" s="3" t="s">
        <v>19</v>
      </c>
      <c r="I15" s="3"/>
      <c r="J15" s="3"/>
      <c r="K15" s="3"/>
      <c r="L15" s="3"/>
      <c r="M15" s="3"/>
    </row>
    <row r="16" spans="1:13" x14ac:dyDescent="0.25">
      <c r="A16" s="4"/>
      <c r="B16" s="11">
        <v>2018</v>
      </c>
      <c r="C16" s="11"/>
      <c r="D16" s="11">
        <v>2020</v>
      </c>
      <c r="E16" s="11"/>
      <c r="F16" s="11">
        <v>2023</v>
      </c>
      <c r="G16" s="11"/>
      <c r="H16" s="11">
        <v>2018</v>
      </c>
      <c r="I16" s="11"/>
      <c r="J16" s="11">
        <v>2020</v>
      </c>
      <c r="K16" s="11"/>
      <c r="L16" s="11">
        <v>2023</v>
      </c>
      <c r="M16" s="11"/>
    </row>
    <row r="17" spans="1:13" x14ac:dyDescent="0.25">
      <c r="A17" s="2"/>
      <c r="B17" s="6" t="s">
        <v>0</v>
      </c>
      <c r="C17" s="6" t="s">
        <v>1</v>
      </c>
      <c r="D17" s="6" t="s">
        <v>0</v>
      </c>
      <c r="E17" s="6" t="s">
        <v>1</v>
      </c>
      <c r="F17" s="6" t="s">
        <v>0</v>
      </c>
      <c r="G17" s="6" t="s">
        <v>1</v>
      </c>
      <c r="H17" s="6" t="s">
        <v>0</v>
      </c>
      <c r="I17" s="6" t="s">
        <v>1</v>
      </c>
      <c r="J17" s="6" t="s">
        <v>0</v>
      </c>
      <c r="K17" s="6" t="s">
        <v>1</v>
      </c>
      <c r="L17" s="6" t="s">
        <v>0</v>
      </c>
      <c r="M17" s="6" t="s">
        <v>1</v>
      </c>
    </row>
    <row r="18" spans="1:13" x14ac:dyDescent="0.25">
      <c r="A18" s="2" t="s">
        <v>2</v>
      </c>
      <c r="B18" s="6" t="s">
        <v>20</v>
      </c>
      <c r="C18" s="6" t="str">
        <f>+"-0,140"</f>
        <v>-0,140</v>
      </c>
      <c r="D18" s="6" t="s">
        <v>28</v>
      </c>
      <c r="E18" s="6" t="str">
        <f>+"-0,380***"</f>
        <v>-0,380***</v>
      </c>
      <c r="F18" s="6" t="str">
        <f>+"-0,155***"</f>
        <v>-0,155***</v>
      </c>
      <c r="G18" s="6" t="str">
        <f>+"-0,274***"</f>
        <v>-0,274***</v>
      </c>
      <c r="H18" s="6" t="s">
        <v>24</v>
      </c>
      <c r="I18" s="6">
        <v>7.9000000000000001E-2</v>
      </c>
      <c r="J18" s="6" t="s">
        <v>29</v>
      </c>
      <c r="K18" s="6" t="str">
        <f>+"-0,532***"</f>
        <v>-0,532***</v>
      </c>
      <c r="L18" s="6" t="str">
        <f>+"-0,156***"</f>
        <v>-0,156***</v>
      </c>
      <c r="M18" s="6" t="str">
        <f>+"-0,234***"</f>
        <v>-0,234***</v>
      </c>
    </row>
    <row r="19" spans="1:13" x14ac:dyDescent="0.25">
      <c r="A19" s="2" t="s">
        <v>3</v>
      </c>
      <c r="B19" s="6" t="str">
        <f>+"-0,002***"</f>
        <v>-0,002***</v>
      </c>
      <c r="C19" s="6" t="str">
        <f>+"-0,007***"</f>
        <v>-0,007***</v>
      </c>
      <c r="D19" s="6" t="str">
        <f>+"-0,002***"</f>
        <v>-0,002***</v>
      </c>
      <c r="E19" s="6" t="str">
        <f>+"-0,008***"</f>
        <v>-0,008***</v>
      </c>
      <c r="F19" s="6" t="str">
        <f>+"-0,004***"</f>
        <v>-0,004***</v>
      </c>
      <c r="G19" s="6" t="str">
        <f>+"-0,005***"</f>
        <v>-0,005***</v>
      </c>
      <c r="H19" s="6" t="str">
        <f>+"-0,003***"</f>
        <v>-0,003***</v>
      </c>
      <c r="I19" s="6" t="str">
        <f>+"-0,004***"</f>
        <v>-0,004***</v>
      </c>
      <c r="J19" s="6" t="str">
        <f>+"-0,004***"</f>
        <v>-0,004***</v>
      </c>
      <c r="K19" s="6" t="str">
        <f>+"-0,010***"</f>
        <v>-0,010***</v>
      </c>
      <c r="L19" s="6" t="str">
        <f>+"-0,006***"</f>
        <v>-0,006***</v>
      </c>
      <c r="M19" s="6" t="str">
        <f>+"-0,006***"</f>
        <v>-0,006***</v>
      </c>
    </row>
    <row r="20" spans="1:13" x14ac:dyDescent="0.25">
      <c r="A20" s="2" t="s">
        <v>4</v>
      </c>
      <c r="B20" s="6" t="s">
        <v>21</v>
      </c>
      <c r="C20" s="6" t="s">
        <v>22</v>
      </c>
      <c r="D20" s="6" t="s">
        <v>25</v>
      </c>
      <c r="E20" s="6" t="s">
        <v>31</v>
      </c>
      <c r="F20" s="6" t="s">
        <v>34</v>
      </c>
      <c r="G20" s="6" t="s">
        <v>37</v>
      </c>
      <c r="H20" s="6" t="s">
        <v>25</v>
      </c>
      <c r="I20" s="6" t="s">
        <v>27</v>
      </c>
      <c r="J20" s="6">
        <v>3.1659999999999999</v>
      </c>
      <c r="K20" s="6" t="s">
        <v>33</v>
      </c>
      <c r="L20" s="6" t="s">
        <v>35</v>
      </c>
      <c r="M20" s="6" t="s">
        <v>39</v>
      </c>
    </row>
    <row r="21" spans="1:13" x14ac:dyDescent="0.25">
      <c r="A21" s="2"/>
      <c r="B21" s="6"/>
      <c r="C21" s="6"/>
      <c r="D21" s="6"/>
      <c r="E21" s="6"/>
      <c r="F21" s="6"/>
      <c r="G21" s="6"/>
      <c r="H21" s="6"/>
      <c r="I21" s="6"/>
      <c r="J21" s="6"/>
      <c r="K21" s="6"/>
      <c r="L21" s="6"/>
      <c r="M21" s="6"/>
    </row>
    <row r="22" spans="1:13" x14ac:dyDescent="0.25">
      <c r="A22" s="2" t="s">
        <v>5</v>
      </c>
      <c r="B22" s="6"/>
      <c r="C22" s="6" t="s">
        <v>23</v>
      </c>
      <c r="D22" s="6"/>
      <c r="E22" s="6" t="s">
        <v>30</v>
      </c>
      <c r="F22" s="6"/>
      <c r="G22" s="6" t="s">
        <v>36</v>
      </c>
      <c r="H22" s="6"/>
      <c r="I22" s="6" t="s">
        <v>26</v>
      </c>
      <c r="J22" s="6"/>
      <c r="K22" s="6" t="s">
        <v>32</v>
      </c>
      <c r="L22" s="6"/>
      <c r="M22" s="6" t="s">
        <v>38</v>
      </c>
    </row>
    <row r="23" spans="1:13" x14ac:dyDescent="0.25">
      <c r="A23" s="4" t="s">
        <v>6</v>
      </c>
      <c r="B23" s="8">
        <v>9630</v>
      </c>
      <c r="C23" s="8"/>
      <c r="D23" s="8">
        <v>9420</v>
      </c>
      <c r="E23" s="8">
        <v>8594</v>
      </c>
      <c r="F23" s="8">
        <v>9023</v>
      </c>
      <c r="G23" s="8">
        <v>8231</v>
      </c>
      <c r="H23" s="8">
        <v>10422</v>
      </c>
      <c r="I23" s="8">
        <v>9055</v>
      </c>
      <c r="J23" s="8">
        <v>10258</v>
      </c>
      <c r="K23" s="8">
        <v>9404</v>
      </c>
      <c r="L23" s="8">
        <v>9974</v>
      </c>
      <c r="M23" s="8">
        <v>9173</v>
      </c>
    </row>
    <row r="24" spans="1:13" x14ac:dyDescent="0.25">
      <c r="A24" s="2" t="s">
        <v>62</v>
      </c>
      <c r="B24" s="2"/>
      <c r="C24" s="2"/>
      <c r="D24" s="2"/>
      <c r="E24" s="2"/>
      <c r="F24" s="2"/>
      <c r="G24" s="2"/>
      <c r="H24" s="7"/>
      <c r="I24" s="7"/>
      <c r="J24" s="7"/>
      <c r="K24" s="7"/>
      <c r="L24" s="7"/>
      <c r="M24" s="7"/>
    </row>
    <row r="25" spans="1:13" x14ac:dyDescent="0.25">
      <c r="A25" s="2" t="s">
        <v>63</v>
      </c>
      <c r="B25" s="2"/>
      <c r="C25" s="2"/>
      <c r="D25" s="2"/>
      <c r="E25" s="2"/>
      <c r="F25" s="2"/>
      <c r="G25" s="2"/>
      <c r="H25" s="7"/>
      <c r="I25" s="7"/>
      <c r="J25" s="7"/>
      <c r="K25" s="7"/>
      <c r="L25" s="7"/>
      <c r="M25" s="7"/>
    </row>
    <row r="26" spans="1:13" ht="44.25" customHeight="1" x14ac:dyDescent="0.25">
      <c r="A26" s="9" t="s">
        <v>64</v>
      </c>
      <c r="B26" s="9"/>
      <c r="C26" s="9"/>
      <c r="D26" s="9"/>
      <c r="E26" s="9"/>
      <c r="F26" s="9"/>
      <c r="G26" s="9"/>
      <c r="H26" s="9"/>
      <c r="I26" s="9"/>
      <c r="J26" s="9"/>
      <c r="K26" s="9"/>
      <c r="L26" s="9"/>
      <c r="M26" s="9"/>
    </row>
    <row r="27" spans="1:13" x14ac:dyDescent="0.25">
      <c r="A27" s="2"/>
      <c r="B27" s="7"/>
      <c r="C27" s="7"/>
      <c r="D27" s="7"/>
      <c r="E27" s="7"/>
      <c r="F27" s="7"/>
      <c r="G27" s="7"/>
      <c r="H27" s="7"/>
      <c r="I27" s="7"/>
      <c r="J27" s="7"/>
      <c r="K27" s="7"/>
      <c r="L27" s="7"/>
      <c r="M27" s="7"/>
    </row>
    <row r="28" spans="1:13" x14ac:dyDescent="0.25">
      <c r="A28" s="2"/>
      <c r="B28" s="2"/>
      <c r="C28" s="2"/>
      <c r="D28" s="2"/>
      <c r="E28" s="2"/>
      <c r="F28" s="2"/>
      <c r="G28" s="2"/>
      <c r="H28" s="2"/>
      <c r="I28" s="2"/>
      <c r="J28" s="2"/>
      <c r="K28" s="2"/>
      <c r="L28" s="2"/>
      <c r="M28" s="2"/>
    </row>
    <row r="29" spans="1:13" x14ac:dyDescent="0.25">
      <c r="A29" s="1" t="s">
        <v>69</v>
      </c>
      <c r="B29" s="1"/>
      <c r="C29" s="1"/>
      <c r="D29" s="1"/>
      <c r="E29" s="1"/>
      <c r="F29" s="1"/>
      <c r="G29" s="1"/>
      <c r="H29" s="1"/>
      <c r="I29" s="1"/>
      <c r="J29" s="1"/>
      <c r="K29" s="1"/>
      <c r="L29" s="1"/>
      <c r="M29" s="1"/>
    </row>
    <row r="30" spans="1:13" x14ac:dyDescent="0.25">
      <c r="A30" s="2"/>
      <c r="B30" s="3" t="s">
        <v>60</v>
      </c>
      <c r="C30" s="3"/>
      <c r="D30" s="3"/>
      <c r="E30" s="3"/>
      <c r="F30" s="3"/>
      <c r="G30" s="3"/>
      <c r="H30" s="3" t="s">
        <v>61</v>
      </c>
      <c r="I30" s="3"/>
      <c r="J30" s="3"/>
      <c r="K30" s="3"/>
      <c r="L30" s="3"/>
      <c r="M30" s="3"/>
    </row>
    <row r="31" spans="1:13" x14ac:dyDescent="0.25">
      <c r="A31" s="4"/>
      <c r="B31" s="11">
        <v>2018</v>
      </c>
      <c r="C31" s="11"/>
      <c r="D31" s="11">
        <v>2020</v>
      </c>
      <c r="E31" s="11"/>
      <c r="F31" s="11">
        <v>2023</v>
      </c>
      <c r="G31" s="11"/>
      <c r="H31" s="11">
        <v>2018</v>
      </c>
      <c r="I31" s="11"/>
      <c r="J31" s="11">
        <v>2020</v>
      </c>
      <c r="K31" s="11"/>
      <c r="L31" s="11">
        <v>2023</v>
      </c>
      <c r="M31" s="11"/>
    </row>
    <row r="32" spans="1:13" x14ac:dyDescent="0.25">
      <c r="A32" s="2"/>
      <c r="B32" s="6" t="s">
        <v>0</v>
      </c>
      <c r="C32" s="6" t="s">
        <v>1</v>
      </c>
      <c r="D32" s="6" t="s">
        <v>0</v>
      </c>
      <c r="E32" s="6" t="s">
        <v>1</v>
      </c>
      <c r="F32" s="6" t="s">
        <v>0</v>
      </c>
      <c r="G32" s="6" t="s">
        <v>1</v>
      </c>
      <c r="H32" s="6" t="s">
        <v>0</v>
      </c>
      <c r="I32" s="6" t="s">
        <v>1</v>
      </c>
      <c r="J32" s="6" t="s">
        <v>0</v>
      </c>
      <c r="K32" s="6" t="s">
        <v>1</v>
      </c>
      <c r="L32" s="6" t="s">
        <v>0</v>
      </c>
      <c r="M32" s="6" t="s">
        <v>1</v>
      </c>
    </row>
    <row r="33" spans="1:13" x14ac:dyDescent="0.25">
      <c r="A33" s="2" t="s">
        <v>2</v>
      </c>
      <c r="B33" s="6" t="s">
        <v>52</v>
      </c>
      <c r="C33" s="6" t="str">
        <f>+"-0,455**"</f>
        <v>-0,455**</v>
      </c>
      <c r="D33" s="6" t="s">
        <v>46</v>
      </c>
      <c r="E33" s="6" t="str">
        <f>+"-0,968***"</f>
        <v>-0,968***</v>
      </c>
      <c r="F33" s="6" t="str">
        <f>+"-0,183***"</f>
        <v>-0,183***</v>
      </c>
      <c r="G33" s="6" t="str">
        <f>+"-0,382***"</f>
        <v>-0,382***</v>
      </c>
      <c r="H33" s="6" t="s">
        <v>54</v>
      </c>
      <c r="I33" s="6">
        <v>-1.2999999999999999E-2</v>
      </c>
      <c r="J33" s="6" t="s">
        <v>46</v>
      </c>
      <c r="K33" s="6" t="str">
        <f>+"-0,318**"</f>
        <v>-0,318**</v>
      </c>
      <c r="L33" s="6" t="str">
        <f>+"-0,129***"</f>
        <v>-0,129***</v>
      </c>
      <c r="M33" s="6">
        <v>-0.42899999999999999</v>
      </c>
    </row>
    <row r="34" spans="1:13" x14ac:dyDescent="0.25">
      <c r="A34" s="2" t="s">
        <v>3</v>
      </c>
      <c r="B34" s="6" t="str">
        <f>+"-0,003***"</f>
        <v>-0,003***</v>
      </c>
      <c r="C34" s="6" t="str">
        <f>+"-0,010***"</f>
        <v>-0,010***</v>
      </c>
      <c r="D34" s="6" t="str">
        <f>+"-0,003***"</f>
        <v>-0,003***</v>
      </c>
      <c r="E34" s="6" t="str">
        <f>+"-0,01***"</f>
        <v>-0,01***</v>
      </c>
      <c r="F34" s="6" t="str">
        <f>+"-0,005***"</f>
        <v>-0,005***</v>
      </c>
      <c r="G34" s="6" t="str">
        <f>+"-0,006***"</f>
        <v>-0,006***</v>
      </c>
      <c r="H34" s="6" t="str">
        <f>+"-0,003***"</f>
        <v>-0,003***</v>
      </c>
      <c r="I34" s="6" t="str">
        <f>+"0,006***"</f>
        <v>0,006***</v>
      </c>
      <c r="J34" s="6" t="str">
        <f>+"-0,003***"</f>
        <v>-0,003***</v>
      </c>
      <c r="K34" s="6" t="str">
        <f>+"-0,007***"</f>
        <v>-0,007***</v>
      </c>
      <c r="L34" s="6" t="str">
        <f>+"-0,005***"</f>
        <v>-0,005***</v>
      </c>
      <c r="M34" s="6" t="str">
        <f>+"-0,005***"</f>
        <v>-0,005***</v>
      </c>
    </row>
    <row r="35" spans="1:13" x14ac:dyDescent="0.25">
      <c r="A35" s="2" t="s">
        <v>4</v>
      </c>
      <c r="B35" s="6" t="s">
        <v>53</v>
      </c>
      <c r="C35" s="6" t="s">
        <v>57</v>
      </c>
      <c r="D35" s="6" t="s">
        <v>47</v>
      </c>
      <c r="E35" s="6" t="s">
        <v>49</v>
      </c>
      <c r="F35" s="6" t="s">
        <v>40</v>
      </c>
      <c r="G35" s="6" t="s">
        <v>43</v>
      </c>
      <c r="H35" s="6" t="s">
        <v>55</v>
      </c>
      <c r="I35" s="6" t="s">
        <v>59</v>
      </c>
      <c r="J35" s="6" t="s">
        <v>47</v>
      </c>
      <c r="K35" s="6" t="s">
        <v>51</v>
      </c>
      <c r="L35" s="6" t="s">
        <v>41</v>
      </c>
      <c r="M35" s="6" t="s">
        <v>45</v>
      </c>
    </row>
    <row r="36" spans="1:13" x14ac:dyDescent="0.25">
      <c r="A36" s="2"/>
      <c r="B36" s="6"/>
      <c r="C36" s="6"/>
      <c r="D36" s="6"/>
      <c r="E36" s="6"/>
      <c r="F36" s="6"/>
      <c r="G36" s="6"/>
      <c r="H36" s="6"/>
      <c r="I36" s="6"/>
      <c r="J36" s="6"/>
      <c r="K36" s="6"/>
      <c r="L36" s="6"/>
      <c r="M36" s="6"/>
    </row>
    <row r="37" spans="1:13" x14ac:dyDescent="0.25">
      <c r="A37" s="2" t="s">
        <v>5</v>
      </c>
      <c r="B37" s="6"/>
      <c r="C37" s="6" t="s">
        <v>56</v>
      </c>
      <c r="D37" s="6"/>
      <c r="E37" s="6" t="s">
        <v>48</v>
      </c>
      <c r="F37" s="6"/>
      <c r="G37" s="6" t="s">
        <v>42</v>
      </c>
      <c r="H37" s="6"/>
      <c r="I37" s="6" t="s">
        <v>58</v>
      </c>
      <c r="J37" s="6"/>
      <c r="K37" s="6" t="s">
        <v>50</v>
      </c>
      <c r="L37" s="6"/>
      <c r="M37" s="6" t="s">
        <v>44</v>
      </c>
    </row>
    <row r="38" spans="1:13" x14ac:dyDescent="0.25">
      <c r="A38" s="4" t="s">
        <v>6</v>
      </c>
      <c r="B38" s="8">
        <v>9684</v>
      </c>
      <c r="C38" s="8">
        <v>8441</v>
      </c>
      <c r="D38" s="8">
        <v>9424</v>
      </c>
      <c r="E38" s="8">
        <v>8747</v>
      </c>
      <c r="F38" s="8">
        <v>9818</v>
      </c>
      <c r="G38" s="8">
        <v>9064</v>
      </c>
      <c r="H38" s="8">
        <v>10368</v>
      </c>
      <c r="I38" s="8">
        <v>9003</v>
      </c>
      <c r="J38" s="8">
        <v>9424</v>
      </c>
      <c r="K38" s="8">
        <v>9251</v>
      </c>
      <c r="L38" s="8">
        <v>9179</v>
      </c>
      <c r="M38" s="8">
        <v>8340</v>
      </c>
    </row>
    <row r="39" spans="1:13" x14ac:dyDescent="0.25">
      <c r="A39" s="2" t="s">
        <v>62</v>
      </c>
      <c r="B39" s="2"/>
      <c r="C39" s="2"/>
      <c r="D39" s="2"/>
      <c r="E39" s="2"/>
      <c r="F39" s="2"/>
      <c r="G39" s="2"/>
      <c r="H39" s="2"/>
      <c r="I39" s="2"/>
      <c r="J39" s="2"/>
      <c r="K39" s="2"/>
      <c r="L39" s="2"/>
      <c r="M39" s="2"/>
    </row>
    <row r="40" spans="1:13" x14ac:dyDescent="0.25">
      <c r="A40" s="2" t="s">
        <v>63</v>
      </c>
      <c r="B40" s="2"/>
      <c r="C40" s="2"/>
      <c r="D40" s="2"/>
      <c r="E40" s="2"/>
      <c r="F40" s="2"/>
      <c r="G40" s="2"/>
      <c r="H40" s="2"/>
      <c r="I40" s="2"/>
      <c r="J40" s="2"/>
      <c r="K40" s="2"/>
      <c r="L40" s="2"/>
      <c r="M40" s="2"/>
    </row>
    <row r="41" spans="1:13" ht="48" customHeight="1" x14ac:dyDescent="0.25">
      <c r="A41" s="9" t="s">
        <v>65</v>
      </c>
      <c r="B41" s="9"/>
      <c r="C41" s="9"/>
      <c r="D41" s="9"/>
      <c r="E41" s="9"/>
      <c r="F41" s="9"/>
      <c r="G41" s="9"/>
      <c r="H41" s="9"/>
      <c r="I41" s="9"/>
      <c r="J41" s="9"/>
      <c r="K41" s="9"/>
      <c r="L41" s="9"/>
      <c r="M41" s="9"/>
    </row>
    <row r="42" spans="1:13" x14ac:dyDescent="0.25">
      <c r="A42" s="2"/>
      <c r="B42" s="2"/>
      <c r="C42" s="2"/>
      <c r="D42" s="2"/>
      <c r="E42" s="2"/>
      <c r="F42" s="2"/>
      <c r="G42" s="2"/>
      <c r="H42" s="2"/>
      <c r="I42" s="2"/>
      <c r="J42" s="2"/>
      <c r="K42" s="2"/>
      <c r="L42" s="2"/>
      <c r="M42" s="2"/>
    </row>
  </sheetData>
  <mergeCells count="25">
    <mergeCell ref="A41:M41"/>
    <mergeCell ref="A26:M26"/>
    <mergeCell ref="A1:G1"/>
    <mergeCell ref="A12:G12"/>
    <mergeCell ref="A14:M14"/>
    <mergeCell ref="A29:M29"/>
    <mergeCell ref="B31:C31"/>
    <mergeCell ref="D31:E31"/>
    <mergeCell ref="F31:G31"/>
    <mergeCell ref="H31:I31"/>
    <mergeCell ref="J31:K31"/>
    <mergeCell ref="L31:M31"/>
    <mergeCell ref="H16:I16"/>
    <mergeCell ref="J16:K16"/>
    <mergeCell ref="L16:M16"/>
    <mergeCell ref="B15:G15"/>
    <mergeCell ref="H15:M15"/>
    <mergeCell ref="B30:G30"/>
    <mergeCell ref="H30:M30"/>
    <mergeCell ref="B2:C2"/>
    <mergeCell ref="D2:E2"/>
    <mergeCell ref="F2:G2"/>
    <mergeCell ref="B16:C16"/>
    <mergeCell ref="D16:E16"/>
    <mergeCell ref="F16:G16"/>
  </mergeCells>
  <pageMargins left="0.7" right="0.7" top="0.75" bottom="0.75" header="0.3" footer="0.3"/>
  <pageSetup paperSize="9" orientation="portrait" r:id="rId1"/>
  <ignoredErrors>
    <ignoredError sqref="C5 C34:L35 C19:L23"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Template</dc:creator>
  <cp:lastModifiedBy>Template</cp:lastModifiedBy>
  <dcterms:created xsi:type="dcterms:W3CDTF">2024-09-19T14:58:43Z</dcterms:created>
  <dcterms:modified xsi:type="dcterms:W3CDTF">2024-09-19T19:01:52Z</dcterms:modified>
</cp:coreProperties>
</file>